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ionefine_uw_edu/Documents/Documents/code/takebacktheacademy/"/>
    </mc:Choice>
  </mc:AlternateContent>
  <xr:revisionPtr revIDLastSave="9" documentId="8_{9079BCBC-10CD-48BA-95B1-4C372D60BC9C}" xr6:coauthVersionLast="47" xr6:coauthVersionMax="47" xr10:uidLastSave="{11494837-8A78-4FD7-A699-7D52360992F1}"/>
  <bookViews>
    <workbookView xWindow="3864" yWindow="552" windowWidth="30048" windowHeight="24648" xr2:uid="{94B0E727-BFCF-114D-859B-486E20FCFA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" l="1"/>
  <c r="J73" i="1"/>
  <c r="H53" i="1"/>
  <c r="G31" i="1"/>
  <c r="I31" i="1"/>
  <c r="I46" i="1"/>
  <c r="G71" i="1"/>
  <c r="H71" i="1"/>
  <c r="I71" i="1"/>
  <c r="J71" i="1"/>
  <c r="I52" i="1"/>
  <c r="I29" i="1"/>
  <c r="J45" i="1"/>
  <c r="J63" i="1"/>
  <c r="I51" i="1"/>
  <c r="I37" i="1"/>
  <c r="H25" i="1"/>
  <c r="J38" i="1"/>
  <c r="H72" i="1"/>
  <c r="H40" i="1"/>
  <c r="I4" i="1"/>
  <c r="H66" i="1"/>
  <c r="G67" i="1"/>
  <c r="I67" i="1"/>
  <c r="H68" i="1"/>
  <c r="J69" i="1"/>
  <c r="H9" i="1"/>
  <c r="G61" i="1"/>
  <c r="I24" i="1"/>
</calcChain>
</file>

<file path=xl/sharedStrings.xml><?xml version="1.0" encoding="utf-8"?>
<sst xmlns="http://schemas.openxmlformats.org/spreadsheetml/2006/main" count="464" uniqueCount="286">
  <si>
    <t>Index</t>
  </si>
  <si>
    <t>Name</t>
  </si>
  <si>
    <t>Agency</t>
  </si>
  <si>
    <t>HARRIS, DIANNE</t>
  </si>
  <si>
    <t>REED, BRIAN</t>
  </si>
  <si>
    <t>POLLACK, DANIEL</t>
  </si>
  <si>
    <t>SOLIS, GABRIEL</t>
  </si>
  <si>
    <t>WOODY, ANDREA</t>
  </si>
  <si>
    <t>ESSIG, GRETA</t>
  </si>
  <si>
    <t>University of Washington</t>
  </si>
  <si>
    <t>DEAN</t>
  </si>
  <si>
    <t>PROFESSOR</t>
  </si>
  <si>
    <t>ANALYST</t>
  </si>
  <si>
    <t>ARRIVEY HALL, MEGAN</t>
  </si>
  <si>
    <t>ADMINISTRATIVE SPECIALIST</t>
  </si>
  <si>
    <t>THOMPSON, KEVIN</t>
  </si>
  <si>
    <t>ASSOCIATE DEAN OF DEVELOPMENT</t>
  </si>
  <si>
    <t>HIRANO, HANNAH</t>
  </si>
  <si>
    <t>ASSISTANT TO THE DEAN</t>
  </si>
  <si>
    <t>WEINMAN, KRISTIN</t>
  </si>
  <si>
    <t>POAST, JENNY</t>
  </si>
  <si>
    <t>DEVELOPMENT DIRECTOR - SENIOR</t>
  </si>
  <si>
    <t>COUNTRYMAN, CHRISTA</t>
  </si>
  <si>
    <t>MAJOR GIFT OFFICER - DEVL</t>
  </si>
  <si>
    <t>HARDY, EMILY</t>
  </si>
  <si>
    <t>DEVELOPMENT OFFICER</t>
  </si>
  <si>
    <t>CHAMBERS, JACKSON</t>
  </si>
  <si>
    <t>PRO STAFF TEMP POSITION</t>
  </si>
  <si>
    <t>HINDMAN, RONNIE</t>
  </si>
  <si>
    <t>ADMINISTRATIVE ASSISTANT 3</t>
  </si>
  <si>
    <t>PROSEK, ANGIE</t>
  </si>
  <si>
    <t>MAJOR GIFT OFFICER ASSOCIATE-DEVELOPMENT</t>
  </si>
  <si>
    <t>DORAN, JILL</t>
  </si>
  <si>
    <t>DEVELOPMENT SERVICES DIRECTOR</t>
  </si>
  <si>
    <t>COFFIN, LEVI</t>
  </si>
  <si>
    <t>DEVELOPMENT SERVICES OFFICER</t>
  </si>
  <si>
    <t>MAXWELL, CAROLINE</t>
  </si>
  <si>
    <t>PUBLIC INFORMATION SPECIALIST</t>
  </si>
  <si>
    <t>MCINTIRE, BECKY</t>
  </si>
  <si>
    <t>GRIFFITH, AVANNA</t>
  </si>
  <si>
    <t>SHELL, BENNY</t>
  </si>
  <si>
    <t>WRIGHT, KABRINA</t>
  </si>
  <si>
    <t>WHITE, LORI</t>
  </si>
  <si>
    <t>KISSLER, LANCE</t>
  </si>
  <si>
    <t>DIRECTOR</t>
  </si>
  <si>
    <t>FRANCIS, JOSH</t>
  </si>
  <si>
    <t>JOSEPH, NANCY</t>
  </si>
  <si>
    <t>ASSISTANT DIRECTOR</t>
  </si>
  <si>
    <t>HAWKINS, LUKE</t>
  </si>
  <si>
    <t>ZONDAG, LAUREN</t>
  </si>
  <si>
    <t>CASTILLO, JESSICA</t>
  </si>
  <si>
    <t>GRAPHIC DESIGNER</t>
  </si>
  <si>
    <t>FRICKS, SHANE</t>
  </si>
  <si>
    <t>DIRECTOR-DEPARTMENTAL COMPUTING</t>
  </si>
  <si>
    <t>MOORE, KRISTOPHER</t>
  </si>
  <si>
    <t>WEB COMPUTING SPECIALIST</t>
  </si>
  <si>
    <t>PETERSEN, RYAN</t>
  </si>
  <si>
    <t>WEB INFORMATION SPECIALIST</t>
  </si>
  <si>
    <t>YAMAKI, ELLE</t>
  </si>
  <si>
    <t>NELSON, LINDA</t>
  </si>
  <si>
    <t>ASSOCIATE DEAN</t>
  </si>
  <si>
    <t>TILGHMAN, HEIDI</t>
  </si>
  <si>
    <t>BARNHART, SUSAN</t>
  </si>
  <si>
    <t>ADMINISTRATOR</t>
  </si>
  <si>
    <t>OLSON, DEBBIE</t>
  </si>
  <si>
    <t>KOZIOL, SCOTT</t>
  </si>
  <si>
    <t>WELCH, STEPHANIE</t>
  </si>
  <si>
    <t>LI, XIAOSONG</t>
  </si>
  <si>
    <t>DAVIS RICHEY, GRETCHEN</t>
  </si>
  <si>
    <t>COSTELLO, PHILIP</t>
  </si>
  <si>
    <t>SENIOR COMPUTER SPECIALIST</t>
  </si>
  <si>
    <t>DOSANJH, JASVANT</t>
  </si>
  <si>
    <t>VALENTIN, KEANA</t>
  </si>
  <si>
    <t>COMPUTER SUPPORT TECHNICIAN 1</t>
  </si>
  <si>
    <t>YUEN, GARY</t>
  </si>
  <si>
    <t>RAFIK, SOUFIANE</t>
  </si>
  <si>
    <t>SENIOR APPLICATIONS SYSTEM ENGINEER</t>
  </si>
  <si>
    <t>MIHATA, KEVIN</t>
  </si>
  <si>
    <t>WENSEL, MEL</t>
  </si>
  <si>
    <t>ACADEMIC SERVICES-DIRECTOR</t>
  </si>
  <si>
    <t>ERICKSON, MATT</t>
  </si>
  <si>
    <t>PROGRAM OPERATIONS SPECIALIST</t>
  </si>
  <si>
    <t>Katherine and John Simpson Endowed Dean, College of Arts and Sciences</t>
  </si>
  <si>
    <t> Divisional Dean of Humanities</t>
  </si>
  <si>
    <t>Divisional Dean of Natural Sciences</t>
  </si>
  <si>
    <t>Divisional Dean of the Arts</t>
  </si>
  <si>
    <t>Divisional Dean of Social Sciences</t>
  </si>
  <si>
    <t>Manager of Special Projects and Strategic Initiatives</t>
  </si>
  <si>
    <t>Compliance Specialist</t>
  </si>
  <si>
    <t>Associate Dean for Advancement</t>
  </si>
  <si>
    <t>Executive Assistant to the Associate Dean</t>
  </si>
  <si>
    <t> Director of Finance &amp; Administration</t>
  </si>
  <si>
    <t>Executive Director of Development</t>
  </si>
  <si>
    <t>Associate Director of Development, Natural Sciences</t>
  </si>
  <si>
    <t>Assistant Director</t>
  </si>
  <si>
    <t>Development Officer</t>
  </si>
  <si>
    <t>Development Advancement Assistant</t>
  </si>
  <si>
    <t>Associate Director of Development, Clean Energy Institute</t>
  </si>
  <si>
    <t> Executive Director, Advancement Services</t>
  </si>
  <si>
    <t>Assistant Director, Endowment &amp; Gift Documentation</t>
  </si>
  <si>
    <t>Assistant Director, Digital Production</t>
  </si>
  <si>
    <t>Assistant Director, Donor &amp; Fiscal Stewardship</t>
  </si>
  <si>
    <t>Advancement Events Specialist</t>
  </si>
  <si>
    <t>Advancement Relations Officer, Academic Arts</t>
  </si>
  <si>
    <t>Advancement Operations Support Analyst</t>
  </si>
  <si>
    <t>Assistant Director of Corporate and Foundation Relations</t>
  </si>
  <si>
    <t>Assistant Director of Marketing and Communications Operations</t>
  </si>
  <si>
    <t>Director of Editorial Communications</t>
  </si>
  <si>
    <t>Director of Strategic Communications</t>
  </si>
  <si>
    <t>Associate Director of College &amp; Student Relations</t>
  </si>
  <si>
    <t>Graphic Designer</t>
  </si>
  <si>
    <t>Director of Web Services</t>
  </si>
  <si>
    <t> Web Developer</t>
  </si>
  <si>
    <t>Web Information Specialist</t>
  </si>
  <si>
    <t> Web Solutions Architect</t>
  </si>
  <si>
    <t>Associate Dean for Finance and Administration</t>
  </si>
  <si>
    <t>Director, Administrative Support Team &amp; Change Management</t>
  </si>
  <si>
    <t>Associate Director of Finance and Administration</t>
  </si>
  <si>
    <t>Assistant Director of Finance &amp; Administration</t>
  </si>
  <si>
    <t>Finance Analyst, Languages, Literature and Culture</t>
  </si>
  <si>
    <t>HR Manager, Social Sciences One</t>
  </si>
  <si>
    <t> Senior Associate Dean for Research</t>
  </si>
  <si>
    <t>Director of Research</t>
  </si>
  <si>
    <t>Manager of Desktop Support</t>
  </si>
  <si>
    <t>Computer Support Technician 1</t>
  </si>
  <si>
    <t>Senior Apps Developer</t>
  </si>
  <si>
    <t>Associate Dean for Undergraduate Education</t>
  </si>
  <si>
    <t>Co-Director of Integrated Social Sciences, Director of Academic Services, Integrated Social Sciences</t>
  </si>
  <si>
    <t>Manager of College to Career Initiatives</t>
  </si>
  <si>
    <r>
      <t> </t>
    </r>
    <r>
      <rPr>
        <sz val="12"/>
        <color rgb="FF4A4A4A"/>
        <rFont val="Arial"/>
        <family val="2"/>
      </rPr>
      <t>Executive Director of Marketing &amp; Communications</t>
    </r>
  </si>
  <si>
    <r>
      <t> </t>
    </r>
    <r>
      <rPr>
        <sz val="12"/>
        <color rgb="FF4A4A4A"/>
        <rFont val="Arial"/>
        <family val="2"/>
      </rPr>
      <t>Senior Computer Specialist</t>
    </r>
  </si>
  <si>
    <r>
      <t>Dianne Harris</t>
    </r>
    <r>
      <rPr>
        <sz val="13"/>
        <color theme="1"/>
        <rFont val="Helvetica Neue"/>
        <family val="2"/>
      </rPr>
      <t>  Katherine and John Simpson Endowed Dean, College of Arts and Sciences</t>
    </r>
  </si>
  <si>
    <r>
      <t>Dan Pollack</t>
    </r>
    <r>
      <rPr>
        <sz val="13"/>
        <color theme="1"/>
        <rFont val="Helvetica Neue"/>
        <family val="2"/>
      </rPr>
      <t>        Divisional Dean of Natural Sciences</t>
    </r>
  </si>
  <si>
    <r>
      <t>Brian Reed</t>
    </r>
    <r>
      <rPr>
        <sz val="13"/>
        <color theme="1"/>
        <rFont val="Helvetica Neue"/>
        <family val="2"/>
      </rPr>
      <t>          Divisional Dean of Humanities</t>
    </r>
  </si>
  <si>
    <r>
      <t>Gabriel Solis</t>
    </r>
    <r>
      <rPr>
        <sz val="13"/>
        <color theme="1"/>
        <rFont val="Helvetica Neue"/>
        <family val="2"/>
      </rPr>
      <t>      Divisional Dean of the Arts</t>
    </r>
  </si>
  <si>
    <r>
      <t>Andrea Woody</t>
    </r>
    <r>
      <rPr>
        <sz val="13"/>
        <color theme="1"/>
        <rFont val="Helvetica Neue"/>
        <family val="2"/>
      </rPr>
      <t> Divisional Dean of Social Sciences</t>
    </r>
  </si>
  <si>
    <t>Maya Angela Smith  Associate Dean for Equity, Justice, and Inclusion; Professor of French</t>
  </si>
  <si>
    <r>
      <t>Greta Essig</t>
    </r>
    <r>
      <rPr>
        <sz val="13"/>
        <color theme="1"/>
        <rFont val="Helvetica Neue"/>
        <family val="2"/>
      </rPr>
      <t>         Manager of Special Projects and Strategic Initiatives</t>
    </r>
  </si>
  <si>
    <t>Julianna Jones* Executive Assistant to the Dean + Director of Dean’s Office Support Staff</t>
  </si>
  <si>
    <t>Meta Godsell*  Assistant to the Divisional Deans for Humanities and Social Sciences</t>
  </si>
  <si>
    <t>Scott Devenny*  Assistant to the Divisional Deans for Arts and Natural Sciences, and to the Assistant Dean for Personnel</t>
  </si>
  <si>
    <r>
      <t>Megan Arrivey Hall </t>
    </r>
    <r>
      <rPr>
        <sz val="13"/>
        <color theme="1"/>
        <rFont val="Helvetica Neue"/>
        <family val="2"/>
      </rPr>
      <t>         Compliance Specialist</t>
    </r>
  </si>
  <si>
    <t>Liz Herlevi*           Administrative Assistant</t>
  </si>
  <si>
    <r>
      <t>Kevin P. Thompson</t>
    </r>
    <r>
      <rPr>
        <sz val="13"/>
        <color theme="1"/>
        <rFont val="Helvetica Neue"/>
        <family val="2"/>
      </rPr>
      <t>         Associate Dean for Advancement</t>
    </r>
  </si>
  <si>
    <r>
      <t>Hannah Hirano</t>
    </r>
    <r>
      <rPr>
        <sz val="13"/>
        <color theme="1"/>
        <rFont val="Helvetica Neue"/>
        <family val="2"/>
      </rPr>
      <t>  Executive Assistant to the Associate Dean</t>
    </r>
  </si>
  <si>
    <r>
      <t>Kristin Weinman </t>
    </r>
    <r>
      <rPr>
        <sz val="13"/>
        <color theme="1"/>
        <rFont val="Helvetica Neue"/>
        <family val="2"/>
      </rPr>
      <t>              Director of Finance &amp; Administration</t>
    </r>
  </si>
  <si>
    <t>Stephanie Kornfeld*         Senior Director of Development for Arts &amp; Humanities</t>
  </si>
  <si>
    <t>Jennifer Aydelott*             Director of Strategic Initiatives</t>
  </si>
  <si>
    <r>
      <t>Jenny Poast </t>
    </r>
    <r>
      <rPr>
        <sz val="13"/>
        <color theme="1"/>
        <rFont val="Helvetica Neue"/>
        <family val="2"/>
      </rPr>
      <t>       Executive Director of Development</t>
    </r>
  </si>
  <si>
    <r>
      <t>Christa Countryman</t>
    </r>
    <r>
      <rPr>
        <sz val="13"/>
        <color theme="1"/>
        <rFont val="Helvetica Neue"/>
        <family val="2"/>
      </rPr>
      <t>      Associate Director of Development, Natural Sciences</t>
    </r>
  </si>
  <si>
    <t>Dan Johnson*      Director of Development, Natural Sciences</t>
  </si>
  <si>
    <t>Tiffany Calverley*               Director of Development, Social Sciences</t>
  </si>
  <si>
    <r>
      <t>Emily Hardy</t>
    </r>
    <r>
      <rPr>
        <sz val="13"/>
        <color theme="1"/>
        <rFont val="Helvetica Neue"/>
        <family val="2"/>
      </rPr>
      <t>        Assistant Director</t>
    </r>
  </si>
  <si>
    <t>Damian Peterson*             Associate Director of Development, Social Sciences</t>
  </si>
  <si>
    <t>Reem Sabha*       Assistant Director of Development, Natural Sciences</t>
  </si>
  <si>
    <r>
      <t>Jackson Chambers   </t>
    </r>
    <r>
      <rPr>
        <sz val="13"/>
        <color theme="1"/>
        <rFont val="Helvetica Neue"/>
        <family val="2"/>
      </rPr>
      <t>        Development Officer</t>
    </r>
  </si>
  <si>
    <r>
      <t>Ronnie Hindman     </t>
    </r>
    <r>
      <rPr>
        <sz val="13"/>
        <color theme="1"/>
        <rFont val="Helvetica Neue"/>
        <family val="2"/>
      </rPr>
      <t>          Development Advancement Assistant</t>
    </r>
  </si>
  <si>
    <r>
      <t>Angela Prosek</t>
    </r>
    <r>
      <rPr>
        <sz val="13"/>
        <color theme="1"/>
        <rFont val="Helvetica Neue"/>
        <family val="2"/>
      </rPr>
      <t>  Associate Director of Development, Clean Energy Institute</t>
    </r>
  </si>
  <si>
    <r>
      <t>Jill Doran</t>
    </r>
    <r>
      <rPr>
        <sz val="13"/>
        <color theme="1"/>
        <rFont val="Helvetica Neue"/>
        <family val="2"/>
      </rPr>
      <t>              Executive Director, Advancement Services</t>
    </r>
  </si>
  <si>
    <t>Lindsay Bailey-Weaver*  Director, Advancement Services</t>
  </si>
  <si>
    <r>
      <t>Levi Coffin </t>
    </r>
    <r>
      <rPr>
        <sz val="13"/>
        <color theme="1"/>
        <rFont val="Helvetica Neue"/>
        <family val="2"/>
      </rPr>
      <t>          Assistant Director, Endowment &amp; Gift Documentation</t>
    </r>
  </si>
  <si>
    <r>
      <t>Caroline Maxwell  </t>
    </r>
    <r>
      <rPr>
        <sz val="13"/>
        <color theme="1"/>
        <rFont val="Helvetica Neue"/>
        <family val="2"/>
      </rPr>
      <t>           Assistant Director, Digital Production</t>
    </r>
  </si>
  <si>
    <r>
      <t>Becky McIntire</t>
    </r>
    <r>
      <rPr>
        <sz val="13"/>
        <color theme="1"/>
        <rFont val="Helvetica Neue"/>
        <family val="2"/>
      </rPr>
      <t>  Assistant Director, Donor &amp; Fiscal Stewardship</t>
    </r>
  </si>
  <si>
    <t>Naomi Gesinger                Digital Production Coordinator</t>
  </si>
  <si>
    <r>
      <t>Avanna Griffith</t>
    </r>
    <r>
      <rPr>
        <sz val="13"/>
        <color theme="1"/>
        <rFont val="Helvetica Neue"/>
        <family val="2"/>
      </rPr>
      <t>          Advancement Events Specialist</t>
    </r>
  </si>
  <si>
    <t>Michael Lee*        Data &amp; Reporting Analyst</t>
  </si>
  <si>
    <r>
      <t>Benny Shell  </t>
    </r>
    <r>
      <rPr>
        <sz val="13"/>
        <color theme="1"/>
        <rFont val="Helvetica Neue"/>
        <family val="2"/>
      </rPr>
      <t>       Advancement Relations Officer, Academic Arts</t>
    </r>
  </si>
  <si>
    <r>
      <t>Kabrina Wright</t>
    </r>
    <r>
      <rPr>
        <sz val="13"/>
        <color theme="1"/>
        <rFont val="Helvetica Neue"/>
        <family val="2"/>
      </rPr>
      <t>  Advancement Operations Support Analyst</t>
    </r>
  </si>
  <si>
    <t>Lauren Zalewski*                Digital Production Coordinator</t>
  </si>
  <si>
    <t>Liz Exell*                Executive Director of Corporate and Foundation Relations</t>
  </si>
  <si>
    <r>
      <t>Lori White</t>
    </r>
    <r>
      <rPr>
        <sz val="13"/>
        <color theme="1"/>
        <rFont val="Helvetica Neue"/>
        <family val="2"/>
      </rPr>
      <t>           Assistant Director of Corporate and Foundation Relations</t>
    </r>
  </si>
  <si>
    <t>Brynn Svenningsen    Program Manager for Corporate and Foundation Relations</t>
  </si>
  <si>
    <r>
      <t>Lance Kissler </t>
    </r>
    <r>
      <rPr>
        <sz val="13"/>
        <color theme="1"/>
        <rFont val="Helvetica Neue"/>
        <family val="2"/>
      </rPr>
      <t>     Executive Director of Marketing &amp; Communications</t>
    </r>
  </si>
  <si>
    <r>
      <t>Josh Francis</t>
    </r>
    <r>
      <rPr>
        <sz val="13"/>
        <color theme="1"/>
        <rFont val="Helvetica Neue"/>
        <family val="2"/>
      </rPr>
      <t>    Assistant Director of Marketing and Communications Operations</t>
    </r>
  </si>
  <si>
    <r>
      <t>Nancy Joseph</t>
    </r>
    <r>
      <rPr>
        <sz val="13"/>
        <color theme="1"/>
        <rFont val="Helvetica Neue"/>
        <family val="2"/>
      </rPr>
      <t>    Director of Editorial Communications</t>
    </r>
  </si>
  <si>
    <r>
      <t>Luke Hawkins </t>
    </r>
    <r>
      <rPr>
        <sz val="13"/>
        <color theme="1"/>
        <rFont val="Helvetica Neue"/>
        <family val="2"/>
      </rPr>
      <t>    Director of Strategic Communications</t>
    </r>
  </si>
  <si>
    <r>
      <t>Lauren Zondag</t>
    </r>
    <r>
      <rPr>
        <sz val="13"/>
        <color theme="1"/>
        <rFont val="Helvetica Neue"/>
        <family val="2"/>
      </rPr>
      <t>  Associate Director of College &amp; Student Relations</t>
    </r>
  </si>
  <si>
    <t>Cody Bowie        College Communications Specialist</t>
  </si>
  <si>
    <t>Annie Chan*         Digital Communications Specialist</t>
  </si>
  <si>
    <t>Richard Stegeman*           Associate Creative Director</t>
  </si>
  <si>
    <r>
      <t>Jessica Castillo</t>
    </r>
    <r>
      <rPr>
        <sz val="13"/>
        <color theme="1"/>
        <rFont val="Helvetica Neue"/>
        <family val="2"/>
      </rPr>
      <t>   Graphic Designer</t>
    </r>
  </si>
  <si>
    <t>Juan A Rodriguez, Jr.*       Marketing Production Manager</t>
  </si>
  <si>
    <r>
      <t>Shane Fricks</t>
    </r>
    <r>
      <rPr>
        <sz val="13"/>
        <color theme="1"/>
        <rFont val="Helvetica Neue"/>
        <family val="2"/>
      </rPr>
      <t>       Director of Web Services</t>
    </r>
  </si>
  <si>
    <r>
      <t>Kristopher Moore</t>
    </r>
    <r>
      <rPr>
        <sz val="13"/>
        <color theme="1"/>
        <rFont val="Helvetica Neue"/>
        <family val="2"/>
      </rPr>
      <t>            Web Developer</t>
    </r>
  </si>
  <si>
    <r>
      <t>Ryan Petersen</t>
    </r>
    <r>
      <rPr>
        <sz val="13"/>
        <color theme="1"/>
        <rFont val="Helvetica Neue"/>
        <family val="2"/>
      </rPr>
      <t>     Web Information Specialist</t>
    </r>
  </si>
  <si>
    <t>Andrew Wilson-*    Web Developer</t>
  </si>
  <si>
    <r>
      <t>Elle Yamaki</t>
    </r>
    <r>
      <rPr>
        <sz val="13"/>
        <color theme="1"/>
        <rFont val="Helvetica Neue"/>
        <family val="2"/>
      </rPr>
      <t>         Web Solutions Architect</t>
    </r>
  </si>
  <si>
    <r>
      <t>Linda Nelson</t>
    </r>
    <r>
      <rPr>
        <sz val="13"/>
        <color theme="1"/>
        <rFont val="Helvetica Neue"/>
        <family val="2"/>
      </rPr>
      <t>      Associate Dean for Finance and Administration</t>
    </r>
  </si>
  <si>
    <t>Peter Denis-*         Associate Dean for Personnel</t>
  </si>
  <si>
    <r>
      <t>Heidi Tilghman</t>
    </r>
    <r>
      <rPr>
        <sz val="13"/>
        <color theme="1"/>
        <rFont val="Helvetica Neue"/>
        <family val="2"/>
      </rPr>
      <t>  Director, Administrative Support Team&amp;Change Management</t>
    </r>
  </si>
  <si>
    <r>
      <t>Sue Barnhart (susan?)</t>
    </r>
    <r>
      <rPr>
        <sz val="13"/>
        <color theme="1"/>
        <rFont val="Helvetica Neue"/>
        <family val="2"/>
      </rPr>
      <t>     Associate Director of Finance and Administration</t>
    </r>
  </si>
  <si>
    <t>Ivy Mason-Sharrah*          Director for Personnel Services, Personnel</t>
  </si>
  <si>
    <r>
      <t>Debbie Olson</t>
    </r>
    <r>
      <rPr>
        <sz val="13"/>
        <color theme="1"/>
        <rFont val="Helvetica Neue"/>
        <family val="2"/>
      </rPr>
      <t>     Assistant Director of Finance &amp; Administration</t>
    </r>
  </si>
  <si>
    <t>Young Kim*           Finance Analyst, Social Sciences One</t>
  </si>
  <si>
    <r>
      <t>Scott Koziol</t>
    </r>
    <r>
      <rPr>
        <sz val="13"/>
        <color theme="1"/>
        <rFont val="Helvetica Neue"/>
        <family val="2"/>
      </rPr>
      <t>         Finance Analyst, Languages, Literature and Culture</t>
    </r>
  </si>
  <si>
    <t>Susan Miller*        Academic Specialist, Academic Services, AST</t>
  </si>
  <si>
    <t>Paul Siscel*           HR Manager, Languages, Literature &amp; Culture</t>
  </si>
  <si>
    <r>
      <t>Stephanie Welch</t>
    </r>
    <r>
      <rPr>
        <sz val="13"/>
        <color theme="1"/>
        <rFont val="Helvetica Neue"/>
        <family val="2"/>
      </rPr>
      <t>              HR Manager, Social Sciences One</t>
    </r>
  </si>
  <si>
    <t>Robert Young*     Director of Planning and Budgeting</t>
  </si>
  <si>
    <r>
      <t>Megan Arrivey Hall</t>
    </r>
    <r>
      <rPr>
        <sz val="13"/>
        <color theme="1"/>
        <rFont val="Helvetica Neue"/>
        <family val="2"/>
      </rPr>
      <t>          Compliance Specialist</t>
    </r>
  </si>
  <si>
    <r>
      <t>Xiaosong Li</t>
    </r>
    <r>
      <rPr>
        <sz val="13"/>
        <color theme="1"/>
        <rFont val="Helvetica Neue"/>
        <family val="2"/>
      </rPr>
      <t>          Senior Associate Dean for Research</t>
    </r>
  </si>
  <si>
    <r>
      <t>Gretchen Davis Richey</t>
    </r>
    <r>
      <rPr>
        <sz val="13"/>
        <color theme="1"/>
        <rFont val="Helvetica Neue"/>
        <family val="2"/>
      </rPr>
      <t>   Director of Research</t>
    </r>
  </si>
  <si>
    <t>Kevin Gertz*              Grants Specialist</t>
  </si>
  <si>
    <t>Kristin Woodard*            Research Administrative Specialist</t>
  </si>
  <si>
    <t>Mindy Norris*             Director of Facilities</t>
  </si>
  <si>
    <t>Corinne Wheeler              Facilities Manager for CAS</t>
  </si>
  <si>
    <t>Helen Oland*          Director of Information Technology</t>
  </si>
  <si>
    <t>Ray Horgan*            IT Project Manager</t>
  </si>
  <si>
    <r>
      <t>Philip Costello</t>
    </r>
    <r>
      <rPr>
        <sz val="13"/>
        <color theme="1"/>
        <rFont val="Helvetica Neue"/>
        <family val="2"/>
      </rPr>
      <t>       Manager of Desktop Support</t>
    </r>
  </si>
  <si>
    <t>Dizz Mansur          Computer Support Technician II</t>
  </si>
  <si>
    <r>
      <t>Jasvant Singh Dosanjh</t>
    </r>
    <r>
      <rPr>
        <sz val="13"/>
        <color theme="1"/>
        <rFont val="Helvetica Neue"/>
        <family val="2"/>
      </rPr>
      <t>      Senior Computer Specialist</t>
    </r>
  </si>
  <si>
    <t>Sayed Ali Moosawy         Computer Support Technician 1</t>
  </si>
  <si>
    <r>
      <t>Keana Valentin</t>
    </r>
    <r>
      <rPr>
        <sz val="13"/>
        <color theme="1"/>
        <rFont val="Helvetica Neue"/>
        <family val="2"/>
      </rPr>
      <t>  Computer Support Technician 1</t>
    </r>
  </si>
  <si>
    <r>
      <t>Gary Yuen</t>
    </r>
    <r>
      <rPr>
        <sz val="13"/>
        <color theme="1"/>
        <rFont val="Helvetica Neue"/>
        <family val="2"/>
      </rPr>
      <t>           Computer Support Technician 1</t>
    </r>
  </si>
  <si>
    <t>Kris Shaw*          Associate Director for Platform and Application Development</t>
  </si>
  <si>
    <r>
      <t>Soufiane Rafik</t>
    </r>
    <r>
      <rPr>
        <sz val="13"/>
        <color theme="1"/>
        <rFont val="Helvetica Neue"/>
        <family val="2"/>
      </rPr>
      <t>   Senior Apps Developer</t>
    </r>
  </si>
  <si>
    <r>
      <t>Kevin Mihata </t>
    </r>
    <r>
      <rPr>
        <sz val="13"/>
        <color theme="1"/>
        <rFont val="Helvetica Neue"/>
        <family val="2"/>
      </rPr>
      <t>     Associate Dean for Undergraduate Education</t>
    </r>
  </si>
  <si>
    <t>Cynthia Caci*        Assistant Dean of College Advising</t>
  </si>
  <si>
    <t>John Charlton*    Director of Academic Service, Humanities Advising Center</t>
  </si>
  <si>
    <t>Meg Spratt*          Co-Director of Integrated Social Sciences</t>
  </si>
  <si>
    <r>
      <t>Mel Wensel</t>
    </r>
    <r>
      <rPr>
        <sz val="13"/>
        <color theme="1"/>
        <rFont val="Helvetica Neue"/>
        <family val="2"/>
      </rPr>
      <t>   CoDirectorIntegratedSocialSciencesDirectorofAcademicServices</t>
    </r>
  </si>
  <si>
    <r>
      <t>Matt Erickson</t>
    </r>
    <r>
      <rPr>
        <sz val="13"/>
        <color theme="1"/>
        <rFont val="Helvetica Neue"/>
        <family val="2"/>
      </rPr>
      <t>    Manager of College to Career Initiatives</t>
    </r>
  </si>
  <si>
    <t>Liz Copland*         Program Operations Specialist</t>
  </si>
  <si>
    <t>Kiera Dempsey*  Assistant Associate Dean of Under grad Education</t>
  </si>
  <si>
    <t>Maile Soo*            Talent Development Specialist, C21</t>
  </si>
  <si>
    <t>Emily Uematsu*   Program Operations Specialist</t>
  </si>
  <si>
    <t>DIRECTOR-PROGRAM OPERATIONS</t>
  </si>
  <si>
    <t>was a professor up to and including 2024 so not included</t>
  </si>
  <si>
    <t>JONES, JULIANNA</t>
  </si>
  <si>
    <t>Merged and added</t>
  </si>
  <si>
    <t>GODSELL, META</t>
  </si>
  <si>
    <t>Merged and added, there was a pay cut when shifted positions from program co-ordinator to assistant so double check her</t>
  </si>
  <si>
    <t>Cant find on WA database</t>
  </si>
  <si>
    <t>HERLEVI, LIZ</t>
  </si>
  <si>
    <t>ADMINISTRATIVE ASSISTANT LEAD</t>
  </si>
  <si>
    <t>KORNFELD, STEPHANIE</t>
  </si>
  <si>
    <t>merged and added</t>
  </si>
  <si>
    <t>AYDELOTT, JENNIFER</t>
  </si>
  <si>
    <t>JOHNSON, DAN</t>
  </si>
  <si>
    <t>CALVERLEY, TIFFANY</t>
  </si>
  <si>
    <t>PETERSON, DAMIAN</t>
  </si>
  <si>
    <t>SABHA, REEM</t>
  </si>
  <si>
    <t>BAILEY-WEAVER, LINDSAY</t>
  </si>
  <si>
    <t>not found in database</t>
  </si>
  <si>
    <t>can't confidently identify in database</t>
  </si>
  <si>
    <t>ZALEWSKI, LAUREN</t>
  </si>
  <si>
    <t>EXELL, LIZ</t>
  </si>
  <si>
    <t>cant find in database</t>
  </si>
  <si>
    <t>CHAN, ANNIE</t>
  </si>
  <si>
    <t>salary dip!</t>
  </si>
  <si>
    <t>STEGEMAN, RICHARD</t>
  </si>
  <si>
    <t>WEB GRAPHICS SPECIALIST</t>
  </si>
  <si>
    <t>WILSON, ANDREW</t>
  </si>
  <si>
    <t>DENIS, PETER</t>
  </si>
  <si>
    <t>MASON-SHARRAH, IVY</t>
  </si>
  <si>
    <t>ASSOCIATE DIRECTOR</t>
  </si>
  <si>
    <t>KIM, YOUNG</t>
  </si>
  <si>
    <t>chose the right one</t>
  </si>
  <si>
    <t>MILLER, SUSAN</t>
  </si>
  <si>
    <t>HUMAN RESOURCES DEPT MGR/ADMIN</t>
  </si>
  <si>
    <t>SISCEL, PAUL</t>
  </si>
  <si>
    <t>YOUNG, ROBERT</t>
  </si>
  <si>
    <t>GERTZ, KEVIN</t>
  </si>
  <si>
    <t>wasn't in deans office before</t>
  </si>
  <si>
    <t>NORRIS, MINDY</t>
  </si>
  <si>
    <t>OLAND, HELEN</t>
  </si>
  <si>
    <t>HORGAN, RAY</t>
  </si>
  <si>
    <t>TECHNOLOGY PROJECT MANAGER</t>
  </si>
  <si>
    <t>MANSUR, CHRISTOPHER</t>
  </si>
  <si>
    <t>SHAW, KRIS</t>
  </si>
  <si>
    <t>CACI, CYNTHIA</t>
  </si>
  <si>
    <t>CHARLTON, JOHN</t>
  </si>
  <si>
    <t>was academic until 2024, so new to Deans office</t>
  </si>
  <si>
    <t>COPLAND, LIZ</t>
  </si>
  <si>
    <t>early inconsistenties in pay, some small annual drops</t>
  </si>
  <si>
    <t>complicated and includes overtime, did not include</t>
  </si>
  <si>
    <t>only joined at end of last year did not include</t>
  </si>
  <si>
    <t>Position</t>
  </si>
  <si>
    <t>Position2</t>
  </si>
  <si>
    <t>YR2020</t>
  </si>
  <si>
    <t>YR2021</t>
  </si>
  <si>
    <t>YR2022</t>
  </si>
  <si>
    <t>YR2023</t>
  </si>
  <si>
    <t>YR2024</t>
  </si>
  <si>
    <t>YR2025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</si>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</sst>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222222"/>
      <name val="Calibri"/>
      <family val="2"/>
      <scheme val="minor"/>
    </font>
    <font>
      <sz val="12"/>
      <color rgb="FF4A4A4A"/>
      <name val="Arial"/>
      <family val="2"/>
    </font>
    <font>
      <sz val="12"/>
      <color rgb="FF4A4A4A"/>
      <name val="Encode Sans Condensed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3"/>
      <color theme="1"/>
      <name val="Helvetica Neue"/>
      <family val="2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5">
    <xf numFmtId="0" fontId="0" fillId="0" borderId="0" xfId="0"/>
    <xf numFmtId="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9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2" fontId="2" fillId="0" borderId="0" xfId="0" applyNumberFormat="1" applyFont="1"/>
    <xf numFmtId="2" fontId="9" fillId="3" borderId="0" xfId="0" applyNumberFormat="1" applyFont="1" applyFill="1"/>
    <xf numFmtId="2" fontId="1" fillId="0" borderId="0" xfId="0" applyNumberFormat="1" applyFont="1"/>
    <xf numFmtId="2" fontId="0" fillId="3" borderId="0" xfId="0" applyNumberFormat="1" applyFill="1"/>
    <xf numFmtId="2" fontId="1" fillId="3" borderId="0" xfId="0" applyNumberFormat="1" applyFont="1" applyFill="1"/>
    <xf numFmtId="2" fontId="0" fillId="0" borderId="0" xfId="0" applyNumberFormat="1"/>
    <xf numFmtId="2" fontId="0" fillId="3" borderId="0" xfId="1" applyNumberFormat="1" applyFont="1" applyFill="1"/>
    <xf numFmtId="2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CE84-8859-DD47-A880-B7D7C08467DF}">
  <dimension ref="A1:K81"/>
  <sheetViews>
    <sheetView tabSelected="1" topLeftCell="A45" zoomScale="110" zoomScaleNormal="167" workbookViewId="0">
      <selection activeCell="M58" sqref="M58"/>
    </sheetView>
  </sheetViews>
  <sheetFormatPr defaultColWidth="11" defaultRowHeight="15.6"/>
  <cols>
    <col min="2" max="2" width="22.3984375" customWidth="1"/>
    <col min="3" max="3" width="11" customWidth="1"/>
    <col min="4" max="5" width="20" customWidth="1"/>
    <col min="6" max="10" width="11" style="22" customWidth="1"/>
    <col min="11" max="11" width="11" style="20"/>
  </cols>
  <sheetData>
    <row r="1" spans="1:11">
      <c r="A1" s="3" t="s">
        <v>0</v>
      </c>
      <c r="B1" s="3" t="s">
        <v>1</v>
      </c>
      <c r="C1" s="3" t="s">
        <v>2</v>
      </c>
      <c r="D1" s="3" t="s">
        <v>277</v>
      </c>
      <c r="E1" s="3" t="s">
        <v>278</v>
      </c>
      <c r="F1" s="17" t="s">
        <v>279</v>
      </c>
      <c r="G1" s="17" t="s">
        <v>280</v>
      </c>
      <c r="H1" s="17" t="s">
        <v>281</v>
      </c>
      <c r="I1" s="17" t="s">
        <v>282</v>
      </c>
      <c r="J1" s="17" t="s">
        <v>283</v>
      </c>
      <c r="K1" s="18" t="s">
        <v>284</v>
      </c>
    </row>
    <row r="2" spans="1:11">
      <c r="A2" s="10">
        <v>97569</v>
      </c>
      <c r="B2" s="10" t="s">
        <v>65</v>
      </c>
      <c r="C2" s="10" t="s">
        <v>9</v>
      </c>
      <c r="D2" s="10" t="s">
        <v>44</v>
      </c>
      <c r="E2" s="11" t="s">
        <v>119</v>
      </c>
      <c r="F2" s="19">
        <v>0</v>
      </c>
      <c r="G2" s="24">
        <v>123000</v>
      </c>
      <c r="H2" s="24">
        <v>130900</v>
      </c>
      <c r="I2" s="24">
        <v>136600</v>
      </c>
      <c r="J2" s="24">
        <v>140800</v>
      </c>
      <c r="K2" s="20">
        <v>84000</v>
      </c>
    </row>
    <row r="3" spans="1:11">
      <c r="A3" s="2">
        <v>152867</v>
      </c>
      <c r="B3" s="2" t="s">
        <v>3</v>
      </c>
      <c r="C3" s="2" t="s">
        <v>9</v>
      </c>
      <c r="D3" s="2" t="s">
        <v>10</v>
      </c>
      <c r="E3" s="2" t="s">
        <v>82</v>
      </c>
      <c r="F3" s="19">
        <v>0</v>
      </c>
      <c r="G3" s="19" t="s">
        <v>285</v>
      </c>
      <c r="H3" s="19">
        <v>368800</v>
      </c>
      <c r="I3" s="19">
        <v>381700</v>
      </c>
      <c r="J3" s="19">
        <v>395700</v>
      </c>
      <c r="K3" s="20">
        <v>316128</v>
      </c>
    </row>
    <row r="4" spans="1:11">
      <c r="A4">
        <v>394907</v>
      </c>
      <c r="B4" t="s">
        <v>260</v>
      </c>
      <c r="C4" t="s">
        <v>9</v>
      </c>
      <c r="D4" t="s">
        <v>63</v>
      </c>
      <c r="E4" s="1"/>
      <c r="F4" s="19">
        <v>0</v>
      </c>
      <c r="G4" s="22">
        <v>72400</v>
      </c>
      <c r="H4" s="22">
        <v>74200</v>
      </c>
      <c r="I4" s="22">
        <f>84200+1600</f>
        <v>85800</v>
      </c>
      <c r="J4" s="22">
        <v>101600</v>
      </c>
      <c r="K4" s="20">
        <v>84000</v>
      </c>
    </row>
    <row r="5" spans="1:11">
      <c r="A5">
        <v>350995</v>
      </c>
      <c r="B5" t="s">
        <v>75</v>
      </c>
      <c r="C5" t="s">
        <v>9</v>
      </c>
      <c r="D5" t="s">
        <v>76</v>
      </c>
      <c r="E5" s="4" t="s">
        <v>125</v>
      </c>
      <c r="F5" s="19">
        <v>0</v>
      </c>
      <c r="G5" s="22">
        <v>0</v>
      </c>
      <c r="H5" s="22">
        <v>0</v>
      </c>
      <c r="I5" s="22" t="s">
        <v>285</v>
      </c>
      <c r="J5" s="22">
        <v>111100</v>
      </c>
      <c r="K5" s="21">
        <v>99768</v>
      </c>
    </row>
    <row r="6" spans="1:11">
      <c r="A6" s="2">
        <v>83791</v>
      </c>
      <c r="B6" s="2" t="s">
        <v>7</v>
      </c>
      <c r="C6" s="2" t="s">
        <v>9</v>
      </c>
      <c r="D6" s="2" t="s">
        <v>11</v>
      </c>
      <c r="E6" s="4" t="s">
        <v>86</v>
      </c>
      <c r="F6" s="19">
        <v>0</v>
      </c>
      <c r="G6" s="19">
        <v>185300</v>
      </c>
      <c r="H6" s="19">
        <v>226900</v>
      </c>
      <c r="I6" s="19">
        <v>260100</v>
      </c>
      <c r="J6" s="19">
        <v>290200</v>
      </c>
      <c r="K6" s="21">
        <v>264432</v>
      </c>
    </row>
    <row r="7" spans="1:11">
      <c r="A7" s="2">
        <v>273520</v>
      </c>
      <c r="B7" s="2" t="s">
        <v>6</v>
      </c>
      <c r="C7" s="2" t="s">
        <v>9</v>
      </c>
      <c r="D7" s="2" t="s">
        <v>11</v>
      </c>
      <c r="E7" s="4" t="s">
        <v>85</v>
      </c>
      <c r="F7" s="19">
        <v>0</v>
      </c>
      <c r="G7" s="19">
        <v>0</v>
      </c>
      <c r="H7" s="19" t="s">
        <v>285</v>
      </c>
      <c r="I7" s="19">
        <v>222700</v>
      </c>
      <c r="J7" s="19">
        <v>239300</v>
      </c>
      <c r="K7" s="21">
        <v>220800</v>
      </c>
    </row>
    <row r="8" spans="1:11">
      <c r="A8">
        <v>97320</v>
      </c>
      <c r="B8" t="s">
        <v>262</v>
      </c>
      <c r="C8" t="s">
        <v>9</v>
      </c>
      <c r="D8" t="s">
        <v>47</v>
      </c>
      <c r="E8" s="1"/>
      <c r="F8" s="19">
        <v>0</v>
      </c>
      <c r="G8" s="22">
        <v>76500</v>
      </c>
      <c r="H8" s="22">
        <v>80500</v>
      </c>
      <c r="I8" s="22">
        <v>93100</v>
      </c>
      <c r="J8" s="22">
        <v>102900</v>
      </c>
      <c r="K8" s="20">
        <v>96000</v>
      </c>
    </row>
    <row r="9" spans="1:11">
      <c r="A9">
        <v>294412</v>
      </c>
      <c r="B9" t="s">
        <v>269</v>
      </c>
      <c r="C9" t="s">
        <v>9</v>
      </c>
      <c r="D9" t="s">
        <v>53</v>
      </c>
      <c r="E9" s="1"/>
      <c r="F9" s="19">
        <v>0</v>
      </c>
      <c r="G9" s="22">
        <v>112100</v>
      </c>
      <c r="H9" s="22">
        <f>73500+48100</f>
        <v>121600</v>
      </c>
      <c r="I9" s="22">
        <v>128200</v>
      </c>
      <c r="J9" s="22">
        <v>132900</v>
      </c>
      <c r="K9" s="20">
        <v>124716</v>
      </c>
    </row>
    <row r="10" spans="1:11">
      <c r="A10">
        <v>88174</v>
      </c>
      <c r="B10" t="s">
        <v>256</v>
      </c>
      <c r="C10" t="s">
        <v>9</v>
      </c>
      <c r="D10" t="s">
        <v>63</v>
      </c>
      <c r="E10" s="1"/>
      <c r="F10" s="19">
        <v>0</v>
      </c>
      <c r="G10" s="22">
        <v>73200</v>
      </c>
      <c r="H10" s="22">
        <v>80000</v>
      </c>
      <c r="I10" s="22">
        <v>82500</v>
      </c>
      <c r="J10" s="22">
        <v>85500</v>
      </c>
      <c r="K10" s="20">
        <v>84000</v>
      </c>
    </row>
    <row r="11" spans="1:11" ht="16.2">
      <c r="A11">
        <v>393335</v>
      </c>
      <c r="B11" t="s">
        <v>71</v>
      </c>
      <c r="C11" t="s">
        <v>9</v>
      </c>
      <c r="D11" t="s">
        <v>70</v>
      </c>
      <c r="E11" s="6" t="s">
        <v>130</v>
      </c>
      <c r="F11" s="19">
        <v>0</v>
      </c>
      <c r="G11" s="22">
        <v>0</v>
      </c>
      <c r="H11" s="22">
        <v>0</v>
      </c>
      <c r="I11" s="22" t="s">
        <v>285</v>
      </c>
      <c r="J11" s="22">
        <v>88600</v>
      </c>
      <c r="K11" s="21">
        <v>87864</v>
      </c>
    </row>
    <row r="12" spans="1:11">
      <c r="A12">
        <v>311924</v>
      </c>
      <c r="B12" t="s">
        <v>19</v>
      </c>
      <c r="C12" t="s">
        <v>9</v>
      </c>
      <c r="D12" t="s">
        <v>14</v>
      </c>
      <c r="E12" s="4" t="s">
        <v>91</v>
      </c>
      <c r="F12" s="19">
        <v>0</v>
      </c>
      <c r="G12" s="22" t="s">
        <v>285</v>
      </c>
      <c r="H12" s="22" t="s">
        <v>285</v>
      </c>
      <c r="I12" s="22">
        <v>95100</v>
      </c>
      <c r="J12" s="22">
        <v>113500</v>
      </c>
      <c r="K12" s="21">
        <v>112920</v>
      </c>
    </row>
    <row r="13" spans="1:11">
      <c r="A13" s="2">
        <v>81952</v>
      </c>
      <c r="B13" s="2" t="s">
        <v>5</v>
      </c>
      <c r="C13" s="2" t="s">
        <v>9</v>
      </c>
      <c r="D13" s="2" t="s">
        <v>11</v>
      </c>
      <c r="E13" s="4" t="s">
        <v>84</v>
      </c>
      <c r="F13" s="19">
        <v>0</v>
      </c>
      <c r="G13" s="19">
        <v>259600</v>
      </c>
      <c r="H13" s="19">
        <v>265500</v>
      </c>
      <c r="I13" s="19">
        <v>274200</v>
      </c>
      <c r="J13" s="19">
        <v>292600</v>
      </c>
      <c r="K13" s="21">
        <v>295620</v>
      </c>
    </row>
    <row r="14" spans="1:11">
      <c r="A14">
        <v>122554</v>
      </c>
      <c r="B14" t="s">
        <v>45</v>
      </c>
      <c r="C14" t="s">
        <v>9</v>
      </c>
      <c r="D14" t="s">
        <v>35</v>
      </c>
      <c r="E14" s="4" t="s">
        <v>106</v>
      </c>
      <c r="F14" s="19">
        <v>0</v>
      </c>
      <c r="G14" s="22">
        <v>60700</v>
      </c>
      <c r="H14" s="22">
        <v>67300</v>
      </c>
      <c r="I14" s="22">
        <v>72000</v>
      </c>
      <c r="J14" s="22">
        <v>80000</v>
      </c>
      <c r="K14" s="21">
        <v>81324</v>
      </c>
    </row>
    <row r="15" spans="1:11">
      <c r="A15">
        <v>107315</v>
      </c>
      <c r="B15" t="s">
        <v>32</v>
      </c>
      <c r="C15" t="s">
        <v>9</v>
      </c>
      <c r="D15" t="s">
        <v>33</v>
      </c>
      <c r="E15" s="4" t="s">
        <v>98</v>
      </c>
      <c r="F15" s="19">
        <v>0</v>
      </c>
      <c r="G15" s="22">
        <v>134400</v>
      </c>
      <c r="H15" s="22">
        <v>134900</v>
      </c>
      <c r="I15" s="22">
        <v>154500</v>
      </c>
      <c r="J15" s="22">
        <v>186000</v>
      </c>
      <c r="K15" s="21">
        <v>189108</v>
      </c>
    </row>
    <row r="16" spans="1:11">
      <c r="A16">
        <v>321052</v>
      </c>
      <c r="B16" t="s">
        <v>15</v>
      </c>
      <c r="C16" t="s">
        <v>9</v>
      </c>
      <c r="D16" t="s">
        <v>16</v>
      </c>
      <c r="E16" s="4" t="s">
        <v>89</v>
      </c>
      <c r="F16" s="19">
        <v>0</v>
      </c>
      <c r="G16" s="22">
        <v>0</v>
      </c>
      <c r="H16" s="22" t="s">
        <v>285</v>
      </c>
      <c r="I16" s="22">
        <v>286800</v>
      </c>
      <c r="J16" s="22">
        <v>303800</v>
      </c>
      <c r="K16" s="23">
        <v>309240</v>
      </c>
    </row>
    <row r="17" spans="1:11">
      <c r="A17">
        <v>87812</v>
      </c>
      <c r="B17" t="s">
        <v>52</v>
      </c>
      <c r="C17" t="s">
        <v>9</v>
      </c>
      <c r="D17" t="s">
        <v>53</v>
      </c>
      <c r="E17" s="4" t="s">
        <v>111</v>
      </c>
      <c r="F17" s="19">
        <v>0</v>
      </c>
      <c r="G17" s="22">
        <v>149800</v>
      </c>
      <c r="H17" s="22">
        <v>150100</v>
      </c>
      <c r="I17" s="22">
        <v>155400</v>
      </c>
      <c r="J17" s="22">
        <v>161100</v>
      </c>
      <c r="K17" s="21">
        <v>165648</v>
      </c>
    </row>
    <row r="18" spans="1:11">
      <c r="A18">
        <v>104085</v>
      </c>
      <c r="B18" t="s">
        <v>271</v>
      </c>
      <c r="C18" t="s">
        <v>9</v>
      </c>
      <c r="D18" t="s">
        <v>79</v>
      </c>
      <c r="E18" s="1"/>
      <c r="F18" s="19">
        <v>0</v>
      </c>
      <c r="G18" s="22">
        <v>87900</v>
      </c>
      <c r="H18" s="22">
        <v>91500</v>
      </c>
      <c r="I18" s="22">
        <v>95400</v>
      </c>
      <c r="J18" s="22">
        <v>99700</v>
      </c>
      <c r="K18" s="20">
        <v>102564</v>
      </c>
    </row>
    <row r="19" spans="1:11">
      <c r="A19" s="2">
        <v>115581</v>
      </c>
      <c r="B19" s="2" t="s">
        <v>4</v>
      </c>
      <c r="C19" s="2" t="s">
        <v>9</v>
      </c>
      <c r="D19" s="2" t="s">
        <v>226</v>
      </c>
      <c r="E19" s="4" t="s">
        <v>83</v>
      </c>
      <c r="F19" s="19">
        <v>0</v>
      </c>
      <c r="G19" s="19">
        <v>173300</v>
      </c>
      <c r="H19" s="19">
        <v>204800</v>
      </c>
      <c r="I19" s="19">
        <v>220900</v>
      </c>
      <c r="J19" s="19">
        <v>229000</v>
      </c>
      <c r="K19" s="21">
        <v>235932</v>
      </c>
    </row>
    <row r="20" spans="1:11">
      <c r="A20">
        <v>89082</v>
      </c>
      <c r="B20" t="s">
        <v>62</v>
      </c>
      <c r="C20" t="s">
        <v>9</v>
      </c>
      <c r="D20" t="s">
        <v>63</v>
      </c>
      <c r="E20" s="4" t="s">
        <v>117</v>
      </c>
      <c r="F20" s="19">
        <v>0</v>
      </c>
      <c r="G20" s="22">
        <v>125700</v>
      </c>
      <c r="H20" s="22">
        <v>128700</v>
      </c>
      <c r="I20" s="22">
        <v>148100</v>
      </c>
      <c r="J20" s="22">
        <v>166300</v>
      </c>
      <c r="K20" s="21">
        <v>171360</v>
      </c>
    </row>
    <row r="21" spans="1:11">
      <c r="A21">
        <v>95783</v>
      </c>
      <c r="B21" t="s">
        <v>59</v>
      </c>
      <c r="C21" t="s">
        <v>9</v>
      </c>
      <c r="D21" t="s">
        <v>60</v>
      </c>
      <c r="E21" s="4" t="s">
        <v>115</v>
      </c>
      <c r="F21" s="19">
        <v>0</v>
      </c>
      <c r="G21" s="22">
        <v>236000</v>
      </c>
      <c r="H21" s="22">
        <v>248600</v>
      </c>
      <c r="I21" s="22">
        <v>293100</v>
      </c>
      <c r="J21" s="22">
        <v>304000</v>
      </c>
      <c r="K21" s="21">
        <v>315120</v>
      </c>
    </row>
    <row r="22" spans="1:11">
      <c r="A22">
        <v>351414</v>
      </c>
      <c r="B22" t="s">
        <v>43</v>
      </c>
      <c r="C22" t="s">
        <v>9</v>
      </c>
      <c r="D22" t="s">
        <v>44</v>
      </c>
      <c r="E22" s="4" t="s">
        <v>129</v>
      </c>
      <c r="F22" s="19">
        <v>0</v>
      </c>
      <c r="G22" s="22">
        <v>0</v>
      </c>
      <c r="H22" s="22">
        <v>0</v>
      </c>
      <c r="I22" s="22" t="s">
        <v>285</v>
      </c>
      <c r="J22" s="22">
        <v>192100</v>
      </c>
      <c r="K22" s="21">
        <v>199644</v>
      </c>
    </row>
    <row r="23" spans="1:11">
      <c r="A23">
        <v>368478</v>
      </c>
      <c r="B23" t="s">
        <v>34</v>
      </c>
      <c r="C23" t="s">
        <v>9</v>
      </c>
      <c r="D23" t="s">
        <v>35</v>
      </c>
      <c r="E23" s="4" t="s">
        <v>99</v>
      </c>
      <c r="F23" s="19">
        <v>0</v>
      </c>
      <c r="G23" s="22">
        <v>0</v>
      </c>
      <c r="H23" s="22">
        <v>0</v>
      </c>
      <c r="I23" s="22" t="s">
        <v>285</v>
      </c>
      <c r="J23" s="22">
        <v>78900</v>
      </c>
      <c r="K23" s="21">
        <v>82044</v>
      </c>
    </row>
    <row r="24" spans="1:11">
      <c r="A24">
        <v>383284</v>
      </c>
      <c r="B24" t="s">
        <v>273</v>
      </c>
      <c r="C24" t="s">
        <v>9</v>
      </c>
      <c r="D24" t="s">
        <v>81</v>
      </c>
      <c r="E24" s="1"/>
      <c r="F24" s="19">
        <v>0</v>
      </c>
      <c r="G24" s="22">
        <v>68600</v>
      </c>
      <c r="H24" s="22">
        <v>67300</v>
      </c>
      <c r="I24" s="22">
        <f>53000+32200</f>
        <v>85200</v>
      </c>
      <c r="J24" s="22">
        <v>96300</v>
      </c>
      <c r="K24" s="20">
        <v>100140</v>
      </c>
    </row>
    <row r="25" spans="1:11">
      <c r="A25">
        <v>314201</v>
      </c>
      <c r="B25" t="s">
        <v>250</v>
      </c>
      <c r="C25" t="s">
        <v>9</v>
      </c>
      <c r="D25" t="s">
        <v>251</v>
      </c>
      <c r="E25" s="1"/>
      <c r="F25" s="19">
        <v>0</v>
      </c>
      <c r="G25" s="22">
        <v>67100</v>
      </c>
      <c r="H25" s="22">
        <f>30800+45300</f>
        <v>76100</v>
      </c>
      <c r="I25" s="22">
        <v>93500</v>
      </c>
      <c r="J25" s="22">
        <v>97000</v>
      </c>
      <c r="K25" s="20">
        <v>100884</v>
      </c>
    </row>
    <row r="26" spans="1:11">
      <c r="A26">
        <v>365545</v>
      </c>
      <c r="B26" t="s">
        <v>50</v>
      </c>
      <c r="C26" t="s">
        <v>9</v>
      </c>
      <c r="D26" t="s">
        <v>51</v>
      </c>
      <c r="E26" s="4" t="s">
        <v>110</v>
      </c>
      <c r="F26" s="19">
        <v>0</v>
      </c>
      <c r="G26" s="22">
        <v>0</v>
      </c>
      <c r="H26" s="22">
        <v>0</v>
      </c>
      <c r="I26" s="22" t="s">
        <v>285</v>
      </c>
      <c r="J26" s="22">
        <v>70900</v>
      </c>
      <c r="K26" s="21">
        <v>73740</v>
      </c>
    </row>
    <row r="27" spans="1:11">
      <c r="A27">
        <v>108994</v>
      </c>
      <c r="B27" t="s">
        <v>20</v>
      </c>
      <c r="C27" t="s">
        <v>9</v>
      </c>
      <c r="D27" t="s">
        <v>21</v>
      </c>
      <c r="E27" s="4" t="s">
        <v>92</v>
      </c>
      <c r="F27" s="19">
        <v>0</v>
      </c>
      <c r="G27" s="22">
        <v>141200</v>
      </c>
      <c r="H27" s="22">
        <v>149000</v>
      </c>
      <c r="I27" s="22">
        <v>199100</v>
      </c>
      <c r="J27" s="22">
        <v>220600</v>
      </c>
      <c r="K27" s="21">
        <v>229452</v>
      </c>
    </row>
    <row r="28" spans="1:11">
      <c r="A28">
        <v>104874</v>
      </c>
      <c r="B28" t="s">
        <v>228</v>
      </c>
      <c r="C28" t="s">
        <v>9</v>
      </c>
      <c r="D28" t="s">
        <v>18</v>
      </c>
      <c r="E28" s="1"/>
      <c r="F28" s="19">
        <v>0</v>
      </c>
      <c r="G28" s="22">
        <f>45000+43700</f>
        <v>88700</v>
      </c>
      <c r="H28" s="22">
        <v>110600</v>
      </c>
      <c r="I28" s="22">
        <v>125200</v>
      </c>
      <c r="J28" s="22">
        <v>127200</v>
      </c>
      <c r="K28" s="20">
        <v>132312</v>
      </c>
    </row>
    <row r="29" spans="1:11">
      <c r="A29">
        <v>381827</v>
      </c>
      <c r="B29" t="s">
        <v>241</v>
      </c>
      <c r="C29" t="s">
        <v>9</v>
      </c>
      <c r="D29" t="s">
        <v>25</v>
      </c>
      <c r="E29" s="1"/>
      <c r="F29" s="19">
        <v>0</v>
      </c>
      <c r="G29" s="22" t="s">
        <v>285</v>
      </c>
      <c r="H29" s="22">
        <v>65500</v>
      </c>
      <c r="I29" s="22">
        <f>51300+22700</f>
        <v>74000</v>
      </c>
      <c r="J29" s="22">
        <v>77800</v>
      </c>
      <c r="K29" s="20">
        <v>80928</v>
      </c>
    </row>
    <row r="30" spans="1:11">
      <c r="A30">
        <v>119441</v>
      </c>
      <c r="B30" t="s">
        <v>56</v>
      </c>
      <c r="C30" t="s">
        <v>9</v>
      </c>
      <c r="D30" t="s">
        <v>57</v>
      </c>
      <c r="E30" s="4" t="s">
        <v>113</v>
      </c>
      <c r="F30" s="19">
        <v>0</v>
      </c>
      <c r="G30" s="22">
        <v>81600</v>
      </c>
      <c r="H30" s="22">
        <v>83200</v>
      </c>
      <c r="I30" s="22">
        <v>86100</v>
      </c>
      <c r="J30" s="22">
        <v>89300</v>
      </c>
      <c r="K30" s="21">
        <v>92892</v>
      </c>
    </row>
    <row r="31" spans="1:11">
      <c r="A31">
        <v>109103</v>
      </c>
      <c r="B31" t="s">
        <v>237</v>
      </c>
      <c r="C31" t="s">
        <v>9</v>
      </c>
      <c r="D31" t="s">
        <v>21</v>
      </c>
      <c r="E31" s="1"/>
      <c r="F31" s="19">
        <v>0</v>
      </c>
      <c r="G31" s="22">
        <f>4400+74000</f>
        <v>78400</v>
      </c>
      <c r="H31" s="22">
        <v>101800</v>
      </c>
      <c r="I31" s="22">
        <f>101000+60100</f>
        <v>161100</v>
      </c>
      <c r="J31" s="22">
        <v>166900</v>
      </c>
      <c r="K31" s="20">
        <v>173640</v>
      </c>
    </row>
    <row r="32" spans="1:11">
      <c r="A32">
        <v>386787</v>
      </c>
      <c r="B32" t="s">
        <v>38</v>
      </c>
      <c r="C32" t="s">
        <v>9</v>
      </c>
      <c r="D32" t="s">
        <v>35</v>
      </c>
      <c r="E32" s="4" t="s">
        <v>101</v>
      </c>
      <c r="F32" s="19">
        <v>0</v>
      </c>
      <c r="G32" s="22">
        <v>70500</v>
      </c>
      <c r="H32" s="22">
        <v>72200</v>
      </c>
      <c r="I32" s="22">
        <v>79600</v>
      </c>
      <c r="J32" s="22">
        <v>82300</v>
      </c>
      <c r="K32" s="21">
        <v>85632</v>
      </c>
    </row>
    <row r="33" spans="1:11">
      <c r="A33">
        <v>371937</v>
      </c>
      <c r="B33" t="s">
        <v>39</v>
      </c>
      <c r="C33" t="s">
        <v>9</v>
      </c>
      <c r="D33" t="s">
        <v>35</v>
      </c>
      <c r="E33" s="5" t="s">
        <v>102</v>
      </c>
      <c r="F33" s="19">
        <v>0</v>
      </c>
      <c r="G33" s="22">
        <v>0</v>
      </c>
      <c r="H33" s="22">
        <v>0</v>
      </c>
      <c r="I33" s="22" t="s">
        <v>285</v>
      </c>
      <c r="J33" s="22">
        <v>72700</v>
      </c>
      <c r="K33" s="21">
        <v>75648</v>
      </c>
    </row>
    <row r="34" spans="1:11">
      <c r="A34">
        <v>98611</v>
      </c>
      <c r="B34" t="s">
        <v>58</v>
      </c>
      <c r="C34" t="s">
        <v>9</v>
      </c>
      <c r="D34" t="s">
        <v>55</v>
      </c>
      <c r="E34" s="4" t="s">
        <v>114</v>
      </c>
      <c r="F34" s="19">
        <v>0</v>
      </c>
      <c r="G34" s="22" t="s">
        <v>285</v>
      </c>
      <c r="H34" s="22">
        <v>92300</v>
      </c>
      <c r="I34" s="22">
        <v>99000</v>
      </c>
      <c r="J34" s="22">
        <v>102600</v>
      </c>
      <c r="K34" s="21">
        <v>106764</v>
      </c>
    </row>
    <row r="35" spans="1:11">
      <c r="A35">
        <v>87611</v>
      </c>
      <c r="B35" t="s">
        <v>78</v>
      </c>
      <c r="C35" t="s">
        <v>9</v>
      </c>
      <c r="D35" t="s">
        <v>79</v>
      </c>
      <c r="E35" s="4" t="s">
        <v>127</v>
      </c>
      <c r="F35" s="19">
        <v>0</v>
      </c>
      <c r="G35" s="22">
        <v>101700</v>
      </c>
      <c r="H35" s="22">
        <v>103900</v>
      </c>
      <c r="I35" s="22">
        <v>107600</v>
      </c>
      <c r="J35" s="22">
        <v>111500</v>
      </c>
      <c r="K35" s="21">
        <v>116028</v>
      </c>
    </row>
    <row r="36" spans="1:11">
      <c r="A36">
        <v>92872</v>
      </c>
      <c r="B36" t="s">
        <v>46</v>
      </c>
      <c r="C36" t="s">
        <v>9</v>
      </c>
      <c r="D36" t="s">
        <v>47</v>
      </c>
      <c r="E36" s="5" t="s">
        <v>107</v>
      </c>
      <c r="F36" s="19">
        <v>0</v>
      </c>
      <c r="G36" s="22">
        <v>104300</v>
      </c>
      <c r="H36" s="22">
        <v>106800</v>
      </c>
      <c r="I36" s="22">
        <v>110600</v>
      </c>
      <c r="J36" s="22">
        <v>114600</v>
      </c>
      <c r="K36" s="21">
        <v>119256</v>
      </c>
    </row>
    <row r="37" spans="1:11">
      <c r="A37">
        <v>377017</v>
      </c>
      <c r="B37" t="s">
        <v>248</v>
      </c>
      <c r="C37" t="s">
        <v>9</v>
      </c>
      <c r="D37" t="s">
        <v>37</v>
      </c>
      <c r="E37" s="1"/>
      <c r="F37" s="19">
        <v>0</v>
      </c>
      <c r="G37" s="22" t="s">
        <v>285</v>
      </c>
      <c r="H37" s="22">
        <v>75800</v>
      </c>
      <c r="I37" s="22">
        <f>62900+30400</f>
        <v>93300</v>
      </c>
      <c r="J37" s="22">
        <v>74300</v>
      </c>
      <c r="K37" s="20">
        <v>77376</v>
      </c>
    </row>
    <row r="38" spans="1:11">
      <c r="A38">
        <v>101705</v>
      </c>
      <c r="B38" t="s">
        <v>253</v>
      </c>
      <c r="C38" t="s">
        <v>9</v>
      </c>
      <c r="D38" t="s">
        <v>60</v>
      </c>
      <c r="E38" s="1"/>
      <c r="F38" s="19">
        <v>0</v>
      </c>
      <c r="G38" s="22">
        <v>173700</v>
      </c>
      <c r="H38" s="22">
        <v>180700</v>
      </c>
      <c r="I38" s="22">
        <v>192200</v>
      </c>
      <c r="J38" s="22">
        <f>75400+148200</f>
        <v>223600</v>
      </c>
      <c r="K38" s="20">
        <v>233424</v>
      </c>
    </row>
    <row r="39" spans="1:11">
      <c r="A39">
        <v>96938</v>
      </c>
      <c r="B39" t="s">
        <v>80</v>
      </c>
      <c r="C39" t="s">
        <v>9</v>
      </c>
      <c r="D39" t="s">
        <v>81</v>
      </c>
      <c r="E39" s="4" t="s">
        <v>128</v>
      </c>
      <c r="F39" s="19">
        <v>0</v>
      </c>
      <c r="G39" s="22">
        <v>97400</v>
      </c>
      <c r="H39" s="22">
        <v>100700</v>
      </c>
      <c r="I39" s="22">
        <v>105000</v>
      </c>
      <c r="J39" s="22">
        <v>109500</v>
      </c>
      <c r="K39" s="21">
        <v>114912</v>
      </c>
    </row>
    <row r="40" spans="1:11" s="10" customFormat="1">
      <c r="A40">
        <v>296264</v>
      </c>
      <c r="B40" t="s">
        <v>258</v>
      </c>
      <c r="C40" t="s">
        <v>9</v>
      </c>
      <c r="D40" t="s">
        <v>259</v>
      </c>
      <c r="E40" s="1"/>
      <c r="F40" s="19">
        <v>0</v>
      </c>
      <c r="G40" s="22">
        <v>55800</v>
      </c>
      <c r="H40" s="22">
        <f>34800+26400</f>
        <v>61200</v>
      </c>
      <c r="I40" s="22">
        <v>67100</v>
      </c>
      <c r="J40" s="22">
        <v>72300</v>
      </c>
      <c r="K40" s="20">
        <v>75996</v>
      </c>
    </row>
    <row r="41" spans="1:11" s="10" customFormat="1">
      <c r="A41">
        <v>97119</v>
      </c>
      <c r="B41" t="s">
        <v>68</v>
      </c>
      <c r="C41" t="s">
        <v>9</v>
      </c>
      <c r="D41" t="s">
        <v>44</v>
      </c>
      <c r="E41" s="4" t="s">
        <v>122</v>
      </c>
      <c r="F41" s="19">
        <v>0</v>
      </c>
      <c r="G41" s="22">
        <v>125100</v>
      </c>
      <c r="H41" s="22">
        <v>128700</v>
      </c>
      <c r="I41" s="22">
        <v>133900</v>
      </c>
      <c r="J41" s="22">
        <v>140100</v>
      </c>
      <c r="K41" s="21">
        <v>147408</v>
      </c>
    </row>
    <row r="42" spans="1:11">
      <c r="A42" s="2">
        <v>318480</v>
      </c>
      <c r="B42" s="2" t="s">
        <v>8</v>
      </c>
      <c r="C42" s="2" t="s">
        <v>9</v>
      </c>
      <c r="D42" s="2" t="s">
        <v>12</v>
      </c>
      <c r="E42" s="4" t="s">
        <v>87</v>
      </c>
      <c r="F42" s="19">
        <v>0</v>
      </c>
      <c r="G42" s="19" t="s">
        <v>285</v>
      </c>
      <c r="H42" s="19" t="s">
        <v>285</v>
      </c>
      <c r="I42" s="19">
        <v>138200</v>
      </c>
      <c r="J42" s="19">
        <v>146900</v>
      </c>
      <c r="K42" s="21">
        <v>154716</v>
      </c>
    </row>
    <row r="43" spans="1:11">
      <c r="A43">
        <v>98014</v>
      </c>
      <c r="B43" t="s">
        <v>77</v>
      </c>
      <c r="C43" t="s">
        <v>9</v>
      </c>
      <c r="D43" t="s">
        <v>60</v>
      </c>
      <c r="E43" s="4" t="s">
        <v>126</v>
      </c>
      <c r="F43" s="19">
        <v>0</v>
      </c>
      <c r="G43" s="22">
        <v>153100</v>
      </c>
      <c r="H43" s="22">
        <v>159800</v>
      </c>
      <c r="I43" s="22">
        <v>182300</v>
      </c>
      <c r="J43" s="22">
        <v>194400</v>
      </c>
      <c r="K43" s="21">
        <v>205296</v>
      </c>
    </row>
    <row r="44" spans="1:11">
      <c r="A44">
        <v>374834</v>
      </c>
      <c r="B44" t="s">
        <v>64</v>
      </c>
      <c r="C44" t="s">
        <v>9</v>
      </c>
      <c r="D44" t="s">
        <v>47</v>
      </c>
      <c r="E44" s="4" t="s">
        <v>118</v>
      </c>
      <c r="F44" s="19">
        <v>0</v>
      </c>
      <c r="G44" s="22">
        <v>82900</v>
      </c>
      <c r="H44" s="22">
        <v>85300</v>
      </c>
      <c r="I44" s="22">
        <v>93600</v>
      </c>
      <c r="J44" s="22">
        <v>101700</v>
      </c>
      <c r="K44" s="21">
        <v>107472</v>
      </c>
    </row>
    <row r="45" spans="1:11">
      <c r="A45">
        <v>424562</v>
      </c>
      <c r="B45" t="s">
        <v>242</v>
      </c>
      <c r="C45" t="s">
        <v>9</v>
      </c>
      <c r="D45" t="s">
        <v>33</v>
      </c>
      <c r="E45" s="1"/>
      <c r="F45" s="19">
        <v>0</v>
      </c>
      <c r="G45" s="22">
        <v>87300</v>
      </c>
      <c r="H45" s="22">
        <v>90500</v>
      </c>
      <c r="I45" s="22">
        <v>96900</v>
      </c>
      <c r="J45" s="22">
        <f>79900+29400</f>
        <v>109300</v>
      </c>
      <c r="K45" s="20">
        <v>115584</v>
      </c>
    </row>
    <row r="46" spans="1:11">
      <c r="A46">
        <v>145621</v>
      </c>
      <c r="B46" t="s">
        <v>238</v>
      </c>
      <c r="C46" t="s">
        <v>9</v>
      </c>
      <c r="D46" t="s">
        <v>23</v>
      </c>
      <c r="E46" s="1"/>
      <c r="F46" s="19">
        <v>0</v>
      </c>
      <c r="G46" s="22">
        <v>99500</v>
      </c>
      <c r="H46" s="22">
        <v>101900</v>
      </c>
      <c r="I46" s="22">
        <f>49300+68500</f>
        <v>117800</v>
      </c>
      <c r="J46" s="22">
        <v>132100</v>
      </c>
      <c r="K46" s="20">
        <v>139716</v>
      </c>
    </row>
    <row r="47" spans="1:11">
      <c r="A47">
        <v>296285</v>
      </c>
      <c r="B47" t="s">
        <v>61</v>
      </c>
      <c r="C47" t="s">
        <v>9</v>
      </c>
      <c r="D47" t="s">
        <v>44</v>
      </c>
      <c r="E47" s="4" t="s">
        <v>116</v>
      </c>
      <c r="F47" s="19">
        <v>0</v>
      </c>
      <c r="G47" s="22">
        <v>119600</v>
      </c>
      <c r="H47" s="22">
        <v>133300</v>
      </c>
      <c r="I47" s="22">
        <v>141200</v>
      </c>
      <c r="J47" s="22">
        <v>158500</v>
      </c>
      <c r="K47" s="21">
        <v>167688</v>
      </c>
    </row>
    <row r="48" spans="1:11">
      <c r="A48" s="10">
        <v>100682</v>
      </c>
      <c r="B48" s="10" t="s">
        <v>66</v>
      </c>
      <c r="C48" s="10" t="s">
        <v>9</v>
      </c>
      <c r="D48" s="10" t="s">
        <v>63</v>
      </c>
      <c r="E48" s="11" t="s">
        <v>120</v>
      </c>
      <c r="F48" s="19">
        <v>0</v>
      </c>
      <c r="G48" s="24">
        <v>72900</v>
      </c>
      <c r="H48" s="24">
        <v>73900</v>
      </c>
      <c r="I48" s="24">
        <v>77400</v>
      </c>
      <c r="J48" s="24">
        <v>78600</v>
      </c>
      <c r="K48" s="21">
        <v>84000</v>
      </c>
    </row>
    <row r="49" spans="1:11">
      <c r="A49">
        <v>295843</v>
      </c>
      <c r="B49" t="s">
        <v>74</v>
      </c>
      <c r="C49" t="s">
        <v>9</v>
      </c>
      <c r="D49" t="s">
        <v>73</v>
      </c>
      <c r="E49" s="4" t="s">
        <v>124</v>
      </c>
      <c r="F49" s="19">
        <v>0</v>
      </c>
      <c r="G49" s="22">
        <v>0</v>
      </c>
      <c r="H49" s="22" t="s">
        <v>285</v>
      </c>
      <c r="I49" s="22" t="s">
        <v>285</v>
      </c>
      <c r="J49" s="22">
        <v>59900</v>
      </c>
      <c r="K49" s="21">
        <v>64320</v>
      </c>
    </row>
    <row r="50" spans="1:11">
      <c r="A50">
        <v>378825</v>
      </c>
      <c r="B50" t="s">
        <v>28</v>
      </c>
      <c r="C50" t="s">
        <v>9</v>
      </c>
      <c r="D50" t="s">
        <v>29</v>
      </c>
      <c r="E50" s="4" t="s">
        <v>96</v>
      </c>
      <c r="F50" s="19">
        <v>0</v>
      </c>
      <c r="G50" s="22">
        <v>0</v>
      </c>
      <c r="H50" s="22">
        <v>0</v>
      </c>
      <c r="I50" s="22" t="s">
        <v>285</v>
      </c>
      <c r="J50" s="22">
        <v>58500</v>
      </c>
      <c r="K50" s="21">
        <v>63468</v>
      </c>
    </row>
    <row r="51" spans="1:11">
      <c r="A51">
        <v>379045</v>
      </c>
      <c r="B51" t="s">
        <v>246</v>
      </c>
      <c r="C51" t="s">
        <v>9</v>
      </c>
      <c r="D51" t="s">
        <v>21</v>
      </c>
      <c r="E51" s="1"/>
      <c r="F51" s="19">
        <v>0</v>
      </c>
      <c r="G51" s="22">
        <v>110200</v>
      </c>
      <c r="H51" s="22">
        <v>112900</v>
      </c>
      <c r="I51" s="22">
        <f>146300+500</f>
        <v>146800</v>
      </c>
      <c r="J51" s="22">
        <v>154800</v>
      </c>
      <c r="K51" s="20">
        <v>168672</v>
      </c>
    </row>
    <row r="52" spans="1:11">
      <c r="A52">
        <v>395808</v>
      </c>
      <c r="B52" t="s">
        <v>240</v>
      </c>
      <c r="C52" t="s">
        <v>9</v>
      </c>
      <c r="D52" t="s">
        <v>23</v>
      </c>
      <c r="E52" s="1"/>
      <c r="F52" s="19">
        <v>0</v>
      </c>
      <c r="G52" s="22">
        <v>71900</v>
      </c>
      <c r="H52" s="22">
        <v>75100</v>
      </c>
      <c r="I52" s="22">
        <f>55700+39500</f>
        <v>95200</v>
      </c>
      <c r="J52" s="22">
        <v>102800</v>
      </c>
      <c r="K52" s="20">
        <v>112212</v>
      </c>
    </row>
    <row r="53" spans="1:11">
      <c r="A53">
        <v>273956</v>
      </c>
      <c r="B53" t="s">
        <v>235</v>
      </c>
      <c r="C53" t="s">
        <v>9</v>
      </c>
      <c r="D53" t="s">
        <v>21</v>
      </c>
      <c r="E53" s="1"/>
      <c r="F53" s="19">
        <v>0</v>
      </c>
      <c r="G53" s="22">
        <v>96700</v>
      </c>
      <c r="H53" s="22">
        <f>84500+43200</f>
        <v>127700</v>
      </c>
      <c r="I53" s="22">
        <v>136900</v>
      </c>
      <c r="J53" s="22">
        <v>144500</v>
      </c>
      <c r="K53" s="20">
        <v>158100</v>
      </c>
    </row>
    <row r="54" spans="1:11" ht="15" customHeight="1">
      <c r="A54">
        <v>85260</v>
      </c>
      <c r="B54" t="s">
        <v>233</v>
      </c>
      <c r="C54" t="s">
        <v>9</v>
      </c>
      <c r="D54" t="s">
        <v>234</v>
      </c>
      <c r="E54" s="1"/>
      <c r="F54" s="19">
        <v>0</v>
      </c>
      <c r="G54" s="22">
        <v>55800</v>
      </c>
      <c r="H54" s="22">
        <v>57600</v>
      </c>
      <c r="I54" s="22">
        <v>59700</v>
      </c>
      <c r="J54" s="22">
        <v>60900</v>
      </c>
      <c r="K54" s="20">
        <v>66720</v>
      </c>
    </row>
    <row r="55" spans="1:11">
      <c r="A55">
        <v>110867</v>
      </c>
      <c r="B55" t="s">
        <v>54</v>
      </c>
      <c r="C55" t="s">
        <v>9</v>
      </c>
      <c r="D55" t="s">
        <v>55</v>
      </c>
      <c r="E55" s="4" t="s">
        <v>112</v>
      </c>
      <c r="F55" s="19">
        <v>0</v>
      </c>
      <c r="G55" s="22">
        <v>88600</v>
      </c>
      <c r="H55" s="22">
        <v>91100</v>
      </c>
      <c r="I55" s="22">
        <v>99200</v>
      </c>
      <c r="J55" s="22">
        <v>103400</v>
      </c>
      <c r="K55" s="21">
        <v>114036</v>
      </c>
    </row>
    <row r="56" spans="1:11">
      <c r="A56">
        <v>120211</v>
      </c>
      <c r="B56" t="s">
        <v>48</v>
      </c>
      <c r="C56" t="s">
        <v>9</v>
      </c>
      <c r="D56" t="s">
        <v>44</v>
      </c>
      <c r="E56" s="4" t="s">
        <v>108</v>
      </c>
      <c r="F56" s="19">
        <v>0</v>
      </c>
      <c r="G56" s="22">
        <v>91000</v>
      </c>
      <c r="H56" s="22">
        <v>99900</v>
      </c>
      <c r="I56" s="22">
        <v>107000</v>
      </c>
      <c r="J56" s="22">
        <v>119900</v>
      </c>
      <c r="K56" s="21">
        <v>132612</v>
      </c>
    </row>
    <row r="57" spans="1:11">
      <c r="A57">
        <v>112409</v>
      </c>
      <c r="B57" t="s">
        <v>252</v>
      </c>
      <c r="C57" t="s">
        <v>9</v>
      </c>
      <c r="D57" t="s">
        <v>55</v>
      </c>
      <c r="E57" s="1"/>
      <c r="F57" s="19">
        <v>0</v>
      </c>
      <c r="G57" s="22">
        <v>97200</v>
      </c>
      <c r="H57" s="22">
        <v>97000</v>
      </c>
      <c r="I57" s="22">
        <v>100400</v>
      </c>
      <c r="J57" s="22">
        <v>104100</v>
      </c>
      <c r="K57" s="20">
        <v>115896</v>
      </c>
    </row>
    <row r="58" spans="1:11">
      <c r="A58">
        <v>368219</v>
      </c>
      <c r="B58" t="s">
        <v>41</v>
      </c>
      <c r="C58" t="s">
        <v>9</v>
      </c>
      <c r="D58" t="s">
        <v>12</v>
      </c>
      <c r="E58" s="4" t="s">
        <v>104</v>
      </c>
      <c r="F58" s="19">
        <v>0</v>
      </c>
      <c r="G58" s="22">
        <v>0</v>
      </c>
      <c r="H58" s="22">
        <v>0</v>
      </c>
      <c r="I58" s="22" t="s">
        <v>285</v>
      </c>
      <c r="J58" s="22">
        <v>65600</v>
      </c>
      <c r="K58" s="21">
        <v>73296</v>
      </c>
    </row>
    <row r="59" spans="1:11">
      <c r="A59">
        <v>80594</v>
      </c>
      <c r="B59" t="s">
        <v>67</v>
      </c>
      <c r="C59" t="s">
        <v>9</v>
      </c>
      <c r="D59" t="s">
        <v>11</v>
      </c>
      <c r="E59" s="4" t="s">
        <v>121</v>
      </c>
      <c r="F59" s="19">
        <v>0</v>
      </c>
      <c r="G59" s="22">
        <v>311000</v>
      </c>
      <c r="H59" s="22">
        <v>347400</v>
      </c>
      <c r="I59" s="22">
        <v>346000</v>
      </c>
      <c r="J59" s="22">
        <v>356800</v>
      </c>
      <c r="K59" s="21">
        <v>401652</v>
      </c>
    </row>
    <row r="60" spans="1:11">
      <c r="A60">
        <v>274316</v>
      </c>
      <c r="B60" t="s">
        <v>49</v>
      </c>
      <c r="C60" t="s">
        <v>9</v>
      </c>
      <c r="D60" t="s">
        <v>37</v>
      </c>
      <c r="E60" s="4" t="s">
        <v>109</v>
      </c>
      <c r="F60" s="19">
        <v>0</v>
      </c>
      <c r="G60" s="22" t="s">
        <v>285</v>
      </c>
      <c r="H60" s="22">
        <v>67200</v>
      </c>
      <c r="I60" s="22">
        <v>79100</v>
      </c>
      <c r="J60" s="22">
        <v>86400</v>
      </c>
      <c r="K60" s="21">
        <v>97476</v>
      </c>
    </row>
    <row r="61" spans="1:11">
      <c r="A61">
        <v>77930</v>
      </c>
      <c r="B61" t="s">
        <v>270</v>
      </c>
      <c r="C61" t="s">
        <v>9</v>
      </c>
      <c r="D61" t="s">
        <v>44</v>
      </c>
      <c r="E61" s="1"/>
      <c r="F61" s="19">
        <v>0</v>
      </c>
      <c r="G61" s="22">
        <f>88400+30600</f>
        <v>119000</v>
      </c>
      <c r="H61" s="22">
        <v>125300</v>
      </c>
      <c r="I61" s="22">
        <v>130700</v>
      </c>
      <c r="J61" s="22">
        <v>136400</v>
      </c>
      <c r="K61" s="20">
        <v>154524</v>
      </c>
    </row>
    <row r="62" spans="1:11">
      <c r="A62">
        <v>102857</v>
      </c>
      <c r="B62" t="s">
        <v>268</v>
      </c>
      <c r="C62" t="s">
        <v>9</v>
      </c>
      <c r="D62" t="s">
        <v>73</v>
      </c>
      <c r="E62" s="1"/>
      <c r="F62" s="19">
        <v>0</v>
      </c>
      <c r="G62" s="22" t="s">
        <v>285</v>
      </c>
      <c r="H62" s="22">
        <v>51000</v>
      </c>
      <c r="I62" s="22">
        <v>55500</v>
      </c>
      <c r="J62" s="22">
        <v>58500</v>
      </c>
      <c r="K62" s="20">
        <v>66720</v>
      </c>
    </row>
    <row r="63" spans="1:11">
      <c r="A63">
        <v>429994</v>
      </c>
      <c r="B63" t="s">
        <v>245</v>
      </c>
      <c r="C63" t="s">
        <v>9</v>
      </c>
      <c r="D63" t="s">
        <v>37</v>
      </c>
      <c r="E63" s="1"/>
      <c r="F63" s="19">
        <v>0</v>
      </c>
      <c r="G63" s="22">
        <v>0</v>
      </c>
      <c r="H63" s="22" t="s">
        <v>285</v>
      </c>
      <c r="I63" s="22">
        <v>55300</v>
      </c>
      <c r="J63" s="22">
        <f>39400+24000</f>
        <v>63400</v>
      </c>
      <c r="K63" s="20">
        <v>72432</v>
      </c>
    </row>
    <row r="64" spans="1:11">
      <c r="A64">
        <v>327462</v>
      </c>
      <c r="B64" t="s">
        <v>42</v>
      </c>
      <c r="C64" t="s">
        <v>9</v>
      </c>
      <c r="D64" t="s">
        <v>25</v>
      </c>
      <c r="E64" s="4" t="s">
        <v>105</v>
      </c>
      <c r="F64" s="19">
        <v>0</v>
      </c>
      <c r="G64" s="22">
        <v>0</v>
      </c>
      <c r="H64" s="22" t="s">
        <v>285</v>
      </c>
      <c r="I64" s="22">
        <v>81100</v>
      </c>
      <c r="J64" s="22">
        <v>84000</v>
      </c>
      <c r="K64" s="21">
        <v>96912</v>
      </c>
    </row>
    <row r="65" spans="1:11">
      <c r="A65">
        <v>315871</v>
      </c>
      <c r="B65" t="s">
        <v>69</v>
      </c>
      <c r="C65" t="s">
        <v>9</v>
      </c>
      <c r="D65" t="s">
        <v>70</v>
      </c>
      <c r="E65" s="4" t="s">
        <v>123</v>
      </c>
      <c r="F65" s="19">
        <v>0</v>
      </c>
      <c r="G65" s="22">
        <v>0</v>
      </c>
      <c r="H65" s="22" t="s">
        <v>285</v>
      </c>
      <c r="I65" s="22">
        <v>75800</v>
      </c>
      <c r="J65" s="22">
        <v>102000</v>
      </c>
      <c r="K65" s="21">
        <v>120000</v>
      </c>
    </row>
    <row r="66" spans="1:11">
      <c r="A66">
        <v>91414</v>
      </c>
      <c r="B66" t="s">
        <v>261</v>
      </c>
      <c r="C66" t="s">
        <v>9</v>
      </c>
      <c r="D66" t="s">
        <v>12</v>
      </c>
      <c r="E66" s="1"/>
      <c r="F66" s="19">
        <v>0</v>
      </c>
      <c r="G66" s="22">
        <v>113000</v>
      </c>
      <c r="H66" s="22">
        <f>76800+47100</f>
        <v>123900</v>
      </c>
      <c r="I66" s="22">
        <v>125000</v>
      </c>
      <c r="J66" s="22">
        <v>149900</v>
      </c>
      <c r="K66" s="20">
        <v>178428</v>
      </c>
    </row>
    <row r="67" spans="1:11">
      <c r="A67">
        <v>366281</v>
      </c>
      <c r="B67" t="s">
        <v>264</v>
      </c>
      <c r="C67" t="s">
        <v>9</v>
      </c>
      <c r="D67" t="s">
        <v>44</v>
      </c>
      <c r="E67" s="1"/>
      <c r="F67" s="19">
        <v>0</v>
      </c>
      <c r="G67" s="22">
        <f>51300+63800</f>
        <v>115100</v>
      </c>
      <c r="H67" s="22">
        <v>122200</v>
      </c>
      <c r="I67" s="22">
        <f>92800+36900</f>
        <v>129700</v>
      </c>
      <c r="J67" s="22">
        <v>132600</v>
      </c>
      <c r="K67" s="20">
        <v>166644</v>
      </c>
    </row>
    <row r="68" spans="1:11">
      <c r="A68">
        <v>298278</v>
      </c>
      <c r="B68" t="s">
        <v>265</v>
      </c>
      <c r="C68" t="s">
        <v>9</v>
      </c>
      <c r="D68" t="s">
        <v>53</v>
      </c>
      <c r="E68" s="1"/>
      <c r="F68" s="19">
        <v>0</v>
      </c>
      <c r="G68" s="22">
        <v>97800</v>
      </c>
      <c r="H68" s="22">
        <f>19800+68400</f>
        <v>88200</v>
      </c>
      <c r="I68" s="22">
        <v>132900</v>
      </c>
      <c r="J68" s="22">
        <v>168200</v>
      </c>
      <c r="K68" s="20">
        <v>216000</v>
      </c>
    </row>
    <row r="69" spans="1:11">
      <c r="A69">
        <v>440674</v>
      </c>
      <c r="B69" t="s">
        <v>266</v>
      </c>
      <c r="C69" t="s">
        <v>9</v>
      </c>
      <c r="D69" t="s">
        <v>267</v>
      </c>
      <c r="E69" s="1"/>
      <c r="F69" s="19">
        <v>0</v>
      </c>
      <c r="G69" s="22">
        <v>100700</v>
      </c>
      <c r="H69" s="22">
        <v>103100</v>
      </c>
      <c r="I69" s="22">
        <v>105100</v>
      </c>
      <c r="J69" s="22">
        <f>49900+36600</f>
        <v>86500</v>
      </c>
      <c r="K69" s="20">
        <v>114444</v>
      </c>
    </row>
    <row r="70" spans="1:11">
      <c r="A70">
        <v>395772</v>
      </c>
      <c r="B70" t="s">
        <v>72</v>
      </c>
      <c r="C70" t="s">
        <v>9</v>
      </c>
      <c r="D70" t="s">
        <v>73</v>
      </c>
      <c r="E70" s="4" t="s">
        <v>124</v>
      </c>
      <c r="F70" s="19">
        <v>0</v>
      </c>
      <c r="G70" s="22">
        <v>0</v>
      </c>
      <c r="H70" s="22">
        <v>0</v>
      </c>
      <c r="I70" s="22" t="s">
        <v>285</v>
      </c>
      <c r="J70" s="22">
        <v>56400</v>
      </c>
      <c r="K70" s="21">
        <v>76800</v>
      </c>
    </row>
    <row r="71" spans="1:11">
      <c r="A71">
        <v>427757</v>
      </c>
      <c r="B71" t="s">
        <v>239</v>
      </c>
      <c r="C71" t="s">
        <v>9</v>
      </c>
      <c r="D71" t="s">
        <v>23</v>
      </c>
      <c r="E71" s="1"/>
      <c r="F71" s="19">
        <v>0</v>
      </c>
      <c r="G71" s="22">
        <f>68500</f>
        <v>68500</v>
      </c>
      <c r="H71" s="22">
        <f>74400</f>
        <v>74400</v>
      </c>
      <c r="I71" s="22">
        <f>78500</f>
        <v>78500</v>
      </c>
      <c r="J71" s="22">
        <f>56100+36900</f>
        <v>93000</v>
      </c>
      <c r="K71" s="20">
        <v>130008</v>
      </c>
    </row>
    <row r="72" spans="1:11">
      <c r="A72">
        <v>273574</v>
      </c>
      <c r="B72" t="s">
        <v>254</v>
      </c>
      <c r="C72" t="s">
        <v>9</v>
      </c>
      <c r="D72" t="s">
        <v>255</v>
      </c>
      <c r="E72" s="1"/>
      <c r="F72" s="19">
        <v>0</v>
      </c>
      <c r="G72" s="22">
        <v>86100</v>
      </c>
      <c r="H72" s="22">
        <f>38400+67100</f>
        <v>105500</v>
      </c>
      <c r="I72" s="22">
        <v>112200</v>
      </c>
      <c r="J72" s="22">
        <v>125600</v>
      </c>
      <c r="K72" s="20">
        <v>178428</v>
      </c>
    </row>
    <row r="73" spans="1:11">
      <c r="A73">
        <v>149642</v>
      </c>
      <c r="B73" t="s">
        <v>230</v>
      </c>
      <c r="C73" t="s">
        <v>9</v>
      </c>
      <c r="D73" t="s">
        <v>18</v>
      </c>
      <c r="E73" s="1"/>
      <c r="F73" s="19">
        <v>0</v>
      </c>
      <c r="G73" s="22" t="s">
        <v>285</v>
      </c>
      <c r="H73" s="22" t="s">
        <v>285</v>
      </c>
      <c r="I73" s="22">
        <v>60300</v>
      </c>
      <c r="J73" s="22">
        <f>28000+28000</f>
        <v>56000</v>
      </c>
      <c r="K73" s="20">
        <v>82008</v>
      </c>
    </row>
    <row r="74" spans="1:11">
      <c r="A74">
        <v>431983</v>
      </c>
      <c r="B74" t="s">
        <v>13</v>
      </c>
      <c r="C74" t="s">
        <v>9</v>
      </c>
      <c r="D74" t="s">
        <v>14</v>
      </c>
      <c r="E74" s="4" t="s">
        <v>88</v>
      </c>
      <c r="F74" s="19">
        <v>0</v>
      </c>
      <c r="G74" s="22">
        <v>0</v>
      </c>
      <c r="H74" s="22">
        <v>0</v>
      </c>
      <c r="I74" s="22">
        <v>0</v>
      </c>
      <c r="J74" s="22" t="s">
        <v>285</v>
      </c>
      <c r="K74" s="21">
        <v>73800</v>
      </c>
    </row>
    <row r="75" spans="1:11">
      <c r="A75">
        <v>429971</v>
      </c>
      <c r="B75" t="s">
        <v>17</v>
      </c>
      <c r="C75" t="s">
        <v>9</v>
      </c>
      <c r="D75" t="s">
        <v>18</v>
      </c>
      <c r="E75" s="4" t="s">
        <v>90</v>
      </c>
      <c r="F75" s="19">
        <v>0</v>
      </c>
      <c r="G75" s="22">
        <v>0</v>
      </c>
      <c r="H75" s="22">
        <v>0</v>
      </c>
      <c r="I75" s="22">
        <v>0</v>
      </c>
      <c r="J75" s="22" t="s">
        <v>285</v>
      </c>
      <c r="K75" s="21">
        <v>86484</v>
      </c>
    </row>
    <row r="76" spans="1:11">
      <c r="A76">
        <v>425969</v>
      </c>
      <c r="B76" t="s">
        <v>22</v>
      </c>
      <c r="C76" t="s">
        <v>9</v>
      </c>
      <c r="D76" t="s">
        <v>23</v>
      </c>
      <c r="E76" s="4" t="s">
        <v>93</v>
      </c>
      <c r="F76" s="19">
        <v>0</v>
      </c>
      <c r="G76" s="22">
        <v>0</v>
      </c>
      <c r="H76" s="22">
        <v>0</v>
      </c>
      <c r="I76" s="22">
        <v>0</v>
      </c>
      <c r="J76" s="22" t="s">
        <v>285</v>
      </c>
      <c r="K76" s="21">
        <v>99828</v>
      </c>
    </row>
    <row r="77" spans="1:11">
      <c r="A77">
        <v>446120</v>
      </c>
      <c r="B77" t="s">
        <v>24</v>
      </c>
      <c r="C77" t="s">
        <v>9</v>
      </c>
      <c r="D77" t="s">
        <v>25</v>
      </c>
      <c r="E77" s="4" t="s">
        <v>94</v>
      </c>
      <c r="F77" s="19">
        <v>0</v>
      </c>
      <c r="G77" s="22">
        <v>0</v>
      </c>
      <c r="H77" s="22">
        <v>0</v>
      </c>
      <c r="I77" s="22">
        <v>0</v>
      </c>
      <c r="J77" s="22" t="s">
        <v>285</v>
      </c>
      <c r="K77" s="21">
        <v>79560</v>
      </c>
    </row>
    <row r="78" spans="1:11">
      <c r="A78">
        <v>442636</v>
      </c>
      <c r="B78" t="s">
        <v>26</v>
      </c>
      <c r="C78" t="s">
        <v>9</v>
      </c>
      <c r="D78" t="s">
        <v>27</v>
      </c>
      <c r="E78" s="4" t="s">
        <v>95</v>
      </c>
      <c r="F78" s="19">
        <v>0</v>
      </c>
      <c r="G78" s="22">
        <v>0</v>
      </c>
      <c r="H78" s="22">
        <v>0</v>
      </c>
      <c r="I78" s="22">
        <v>0</v>
      </c>
      <c r="J78" s="22" t="s">
        <v>285</v>
      </c>
      <c r="K78" s="21">
        <v>74004</v>
      </c>
    </row>
    <row r="79" spans="1:11">
      <c r="A79">
        <v>427556</v>
      </c>
      <c r="B79" t="s">
        <v>30</v>
      </c>
      <c r="C79" t="s">
        <v>9</v>
      </c>
      <c r="D79" t="s">
        <v>31</v>
      </c>
      <c r="E79" s="4" t="s">
        <v>97</v>
      </c>
      <c r="F79" s="19">
        <v>0</v>
      </c>
      <c r="G79" s="22">
        <v>0</v>
      </c>
      <c r="H79" s="22">
        <v>0</v>
      </c>
      <c r="I79" s="22">
        <v>0</v>
      </c>
      <c r="J79" s="22" t="s">
        <v>285</v>
      </c>
      <c r="K79" s="21">
        <v>121356</v>
      </c>
    </row>
    <row r="80" spans="1:11">
      <c r="A80">
        <v>432157</v>
      </c>
      <c r="B80" t="s">
        <v>36</v>
      </c>
      <c r="C80" t="s">
        <v>9</v>
      </c>
      <c r="D80" t="s">
        <v>37</v>
      </c>
      <c r="E80" s="4" t="s">
        <v>100</v>
      </c>
      <c r="F80" s="19">
        <v>0</v>
      </c>
      <c r="G80" s="22">
        <v>0</v>
      </c>
      <c r="H80" s="22">
        <v>0</v>
      </c>
      <c r="I80" s="22">
        <v>0</v>
      </c>
      <c r="J80" s="22" t="s">
        <v>285</v>
      </c>
      <c r="K80" s="21">
        <v>82176</v>
      </c>
    </row>
    <row r="81" spans="1:11">
      <c r="A81">
        <v>437067</v>
      </c>
      <c r="B81" t="s">
        <v>40</v>
      </c>
      <c r="C81" t="s">
        <v>9</v>
      </c>
      <c r="D81" t="s">
        <v>27</v>
      </c>
      <c r="E81" s="4" t="s">
        <v>103</v>
      </c>
      <c r="F81" s="19">
        <v>0</v>
      </c>
      <c r="G81" s="22">
        <v>0</v>
      </c>
      <c r="H81" s="22">
        <v>0</v>
      </c>
      <c r="I81" s="22">
        <v>0</v>
      </c>
      <c r="J81" s="22" t="s">
        <v>285</v>
      </c>
      <c r="K81" s="21">
        <v>73500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381F-6215-B94B-A336-AEBD5C070122}">
  <dimension ref="A1:E95"/>
  <sheetViews>
    <sheetView workbookViewId="0">
      <selection activeCell="A95" sqref="A95"/>
    </sheetView>
  </sheetViews>
  <sheetFormatPr defaultColWidth="11" defaultRowHeight="15.6"/>
  <cols>
    <col min="3" max="3" width="20.09765625" style="12" customWidth="1"/>
    <col min="4" max="4" width="54.5" style="12" customWidth="1"/>
  </cols>
  <sheetData>
    <row r="1" spans="1:5" ht="16.8">
      <c r="A1" s="7" t="s">
        <v>131</v>
      </c>
    </row>
    <row r="2" spans="1:5" ht="16.8">
      <c r="A2" s="7" t="s">
        <v>132</v>
      </c>
    </row>
    <row r="3" spans="1:5" ht="16.8">
      <c r="A3" s="7" t="s">
        <v>133</v>
      </c>
    </row>
    <row r="4" spans="1:5" ht="16.8">
      <c r="A4" s="7" t="s">
        <v>134</v>
      </c>
    </row>
    <row r="5" spans="1:5" ht="16.8">
      <c r="A5" s="7" t="s">
        <v>135</v>
      </c>
    </row>
    <row r="6" spans="1:5" s="15" customFormat="1" ht="16.8">
      <c r="A6" s="14" t="s">
        <v>136</v>
      </c>
      <c r="C6" s="16"/>
      <c r="D6" s="16"/>
      <c r="E6" s="15" t="s">
        <v>227</v>
      </c>
    </row>
    <row r="7" spans="1:5" ht="16.8">
      <c r="A7" s="7" t="s">
        <v>137</v>
      </c>
    </row>
    <row r="8" spans="1:5" s="9" customFormat="1" ht="16.8">
      <c r="A8" s="7" t="s">
        <v>138</v>
      </c>
      <c r="C8" s="13"/>
      <c r="D8" s="13"/>
      <c r="E8" s="9" t="s">
        <v>229</v>
      </c>
    </row>
    <row r="9" spans="1:5" s="9" customFormat="1" ht="16.8">
      <c r="A9" s="7" t="s">
        <v>139</v>
      </c>
      <c r="C9" s="13"/>
      <c r="D9" s="13"/>
      <c r="E9" s="9" t="s">
        <v>231</v>
      </c>
    </row>
    <row r="10" spans="1:5" s="15" customFormat="1" ht="16.8">
      <c r="A10" s="14" t="s">
        <v>140</v>
      </c>
      <c r="C10" s="16"/>
      <c r="D10" s="16"/>
      <c r="E10" s="15" t="s">
        <v>232</v>
      </c>
    </row>
    <row r="11" spans="1:5" ht="16.8">
      <c r="A11" s="7" t="s">
        <v>141</v>
      </c>
    </row>
    <row r="12" spans="1:5" s="9" customFormat="1" ht="16.8">
      <c r="A12" s="7" t="s">
        <v>142</v>
      </c>
      <c r="C12" s="13"/>
      <c r="D12" s="13"/>
    </row>
    <row r="13" spans="1:5" ht="16.8">
      <c r="A13" s="7" t="s">
        <v>143</v>
      </c>
    </row>
    <row r="14" spans="1:5" ht="16.8">
      <c r="A14" s="7" t="s">
        <v>144</v>
      </c>
    </row>
    <row r="15" spans="1:5" ht="16.8">
      <c r="A15" s="7" t="s">
        <v>145</v>
      </c>
    </row>
    <row r="16" spans="1:5" s="9" customFormat="1" ht="16.8">
      <c r="A16" s="7" t="s">
        <v>146</v>
      </c>
      <c r="C16" s="13"/>
      <c r="D16" s="13"/>
      <c r="E16" s="9" t="s">
        <v>236</v>
      </c>
    </row>
    <row r="17" spans="1:5" s="9" customFormat="1" ht="16.8">
      <c r="A17" s="7" t="s">
        <v>147</v>
      </c>
      <c r="C17" s="13"/>
      <c r="D17" s="13"/>
      <c r="E17" s="9" t="s">
        <v>236</v>
      </c>
    </row>
    <row r="18" spans="1:5" ht="16.8">
      <c r="A18" s="7" t="s">
        <v>148</v>
      </c>
    </row>
    <row r="19" spans="1:5" ht="16.8">
      <c r="A19" s="7" t="s">
        <v>149</v>
      </c>
    </row>
    <row r="20" spans="1:5" s="9" customFormat="1" ht="16.8">
      <c r="A20" s="7" t="s">
        <v>150</v>
      </c>
      <c r="C20" s="13"/>
      <c r="D20" s="13"/>
      <c r="E20" s="9" t="s">
        <v>236</v>
      </c>
    </row>
    <row r="21" spans="1:5" s="9" customFormat="1" ht="16.8">
      <c r="A21" s="7" t="s">
        <v>151</v>
      </c>
      <c r="C21" s="13"/>
      <c r="D21" s="13"/>
      <c r="E21" s="9" t="s">
        <v>236</v>
      </c>
    </row>
    <row r="22" spans="1:5" ht="16.8">
      <c r="A22" s="7" t="s">
        <v>152</v>
      </c>
    </row>
    <row r="23" spans="1:5" s="9" customFormat="1" ht="16.8">
      <c r="A23" s="7" t="s">
        <v>153</v>
      </c>
      <c r="C23" s="13"/>
      <c r="D23" s="13"/>
      <c r="E23" s="9" t="s">
        <v>236</v>
      </c>
    </row>
    <row r="24" spans="1:5" s="9" customFormat="1" ht="16.8">
      <c r="A24" s="7" t="s">
        <v>154</v>
      </c>
      <c r="C24" s="13"/>
      <c r="D24" s="13"/>
      <c r="E24" s="9" t="s">
        <v>236</v>
      </c>
    </row>
    <row r="25" spans="1:5" ht="16.8">
      <c r="A25" s="7" t="s">
        <v>155</v>
      </c>
    </row>
    <row r="26" spans="1:5" ht="16.8">
      <c r="A26" s="7" t="s">
        <v>156</v>
      </c>
    </row>
    <row r="27" spans="1:5" ht="16.8">
      <c r="A27" s="7" t="s">
        <v>157</v>
      </c>
    </row>
    <row r="28" spans="1:5" ht="16.8">
      <c r="A28" s="7" t="s">
        <v>158</v>
      </c>
    </row>
    <row r="29" spans="1:5" s="9" customFormat="1" ht="16.8">
      <c r="A29" s="7" t="s">
        <v>159</v>
      </c>
      <c r="C29" s="13"/>
      <c r="D29" s="13"/>
      <c r="E29" s="9" t="s">
        <v>236</v>
      </c>
    </row>
    <row r="30" spans="1:5" ht="16.8">
      <c r="A30" s="7" t="s">
        <v>160</v>
      </c>
    </row>
    <row r="31" spans="1:5" ht="16.8">
      <c r="A31" s="7" t="s">
        <v>161</v>
      </c>
    </row>
    <row r="32" spans="1:5" ht="16.8">
      <c r="A32" s="7" t="s">
        <v>162</v>
      </c>
    </row>
    <row r="33" spans="1:5" s="15" customFormat="1" ht="16.8">
      <c r="A33" s="14" t="s">
        <v>163</v>
      </c>
      <c r="C33" s="16"/>
      <c r="D33" s="16"/>
      <c r="E33" s="15" t="s">
        <v>243</v>
      </c>
    </row>
    <row r="34" spans="1:5" ht="16.8">
      <c r="A34" s="7" t="s">
        <v>164</v>
      </c>
    </row>
    <row r="35" spans="1:5" s="9" customFormat="1" ht="16.8">
      <c r="A35" s="7" t="s">
        <v>165</v>
      </c>
      <c r="C35" s="13"/>
      <c r="D35" s="13"/>
      <c r="E35" s="9" t="s">
        <v>244</v>
      </c>
    </row>
    <row r="36" spans="1:5" ht="16.8">
      <c r="A36" s="7" t="s">
        <v>166</v>
      </c>
    </row>
    <row r="37" spans="1:5" ht="16.8">
      <c r="A37" s="7" t="s">
        <v>167</v>
      </c>
    </row>
    <row r="38" spans="1:5" s="9" customFormat="1" ht="16.8">
      <c r="A38" s="7" t="s">
        <v>168</v>
      </c>
      <c r="C38" s="13"/>
      <c r="D38" s="13"/>
    </row>
    <row r="39" spans="1:5" s="9" customFormat="1" ht="16.8">
      <c r="A39" s="7" t="s">
        <v>169</v>
      </c>
      <c r="C39" s="13"/>
      <c r="D39" s="13"/>
      <c r="E39" s="9" t="s">
        <v>236</v>
      </c>
    </row>
    <row r="40" spans="1:5" ht="16.8">
      <c r="A40" s="7" t="s">
        <v>170</v>
      </c>
    </row>
    <row r="41" spans="1:5" s="9" customFormat="1" ht="16.8">
      <c r="A41" s="7" t="s">
        <v>171</v>
      </c>
      <c r="C41" s="13"/>
      <c r="D41" s="13"/>
      <c r="E41" s="9" t="s">
        <v>247</v>
      </c>
    </row>
    <row r="42" spans="1:5" ht="16.8">
      <c r="A42" s="7" t="s">
        <v>172</v>
      </c>
    </row>
    <row r="43" spans="1:5" ht="16.8">
      <c r="A43" s="7" t="s">
        <v>173</v>
      </c>
    </row>
    <row r="44" spans="1:5" ht="16.8">
      <c r="A44" s="7" t="s">
        <v>174</v>
      </c>
    </row>
    <row r="45" spans="1:5" ht="16.8">
      <c r="A45" s="7" t="s">
        <v>175</v>
      </c>
    </row>
    <row r="46" spans="1:5" ht="16.8">
      <c r="A46" s="7" t="s">
        <v>176</v>
      </c>
    </row>
    <row r="47" spans="1:5" s="9" customFormat="1" ht="16.8">
      <c r="A47" s="7" t="s">
        <v>177</v>
      </c>
      <c r="C47" s="13"/>
      <c r="D47" s="13"/>
      <c r="E47" s="9" t="s">
        <v>247</v>
      </c>
    </row>
    <row r="48" spans="1:5" s="9" customFormat="1" ht="16.8">
      <c r="A48" s="7" t="s">
        <v>178</v>
      </c>
      <c r="C48" s="13"/>
      <c r="D48" s="13"/>
      <c r="E48" s="9" t="s">
        <v>249</v>
      </c>
    </row>
    <row r="49" spans="1:5" s="9" customFormat="1" ht="16.8">
      <c r="A49" s="7" t="s">
        <v>179</v>
      </c>
      <c r="C49" s="13"/>
      <c r="D49" s="13"/>
    </row>
    <row r="50" spans="1:5" ht="16.8">
      <c r="A50" s="7" t="s">
        <v>180</v>
      </c>
    </row>
    <row r="51" spans="1:5" ht="16.8">
      <c r="A51" s="8" t="s">
        <v>181</v>
      </c>
      <c r="E51" t="s">
        <v>247</v>
      </c>
    </row>
    <row r="52" spans="1:5" ht="16.8">
      <c r="A52" s="7" t="s">
        <v>182</v>
      </c>
    </row>
    <row r="53" spans="1:5" ht="16.8">
      <c r="A53" s="7" t="s">
        <v>183</v>
      </c>
    </row>
    <row r="54" spans="1:5" ht="16.8">
      <c r="A54" s="7" t="s">
        <v>184</v>
      </c>
    </row>
    <row r="55" spans="1:5" s="9" customFormat="1" ht="16.8">
      <c r="A55" s="7" t="s">
        <v>185</v>
      </c>
      <c r="C55" s="13"/>
      <c r="D55" s="13"/>
    </row>
    <row r="56" spans="1:5" ht="16.8">
      <c r="A56" s="7" t="s">
        <v>186</v>
      </c>
    </row>
    <row r="57" spans="1:5" ht="16.8">
      <c r="A57" s="7" t="s">
        <v>187</v>
      </c>
    </row>
    <row r="58" spans="1:5" s="9" customFormat="1" ht="16.8">
      <c r="A58" s="7" t="s">
        <v>188</v>
      </c>
      <c r="C58" s="13"/>
      <c r="D58" s="13"/>
      <c r="E58" s="9" t="s">
        <v>236</v>
      </c>
    </row>
    <row r="59" spans="1:5" ht="16.8">
      <c r="A59" s="7" t="s">
        <v>189</v>
      </c>
    </row>
    <row r="60" spans="1:5" ht="16.8">
      <c r="A60" s="7" t="s">
        <v>190</v>
      </c>
    </row>
    <row r="61" spans="1:5" s="9" customFormat="1" ht="16.8">
      <c r="A61" s="7" t="s">
        <v>191</v>
      </c>
      <c r="C61" s="13"/>
      <c r="D61" s="13"/>
      <c r="E61" s="9" t="s">
        <v>236</v>
      </c>
    </row>
    <row r="62" spans="1:5" ht="16.8">
      <c r="A62" s="7" t="s">
        <v>192</v>
      </c>
    </row>
    <row r="63" spans="1:5" s="9" customFormat="1" ht="16.8">
      <c r="A63" s="7" t="s">
        <v>193</v>
      </c>
      <c r="C63" s="13"/>
      <c r="D63" s="13"/>
      <c r="E63" s="9" t="s">
        <v>257</v>
      </c>
    </row>
    <row r="64" spans="1:5" ht="16.8">
      <c r="A64" s="7" t="s">
        <v>194</v>
      </c>
    </row>
    <row r="65" spans="1:5" s="9" customFormat="1" ht="16.8">
      <c r="A65" s="7" t="s">
        <v>195</v>
      </c>
      <c r="C65" s="13"/>
      <c r="D65" s="13"/>
      <c r="E65" s="9" t="s">
        <v>236</v>
      </c>
    </row>
    <row r="66" spans="1:5" s="9" customFormat="1" ht="16.8">
      <c r="A66" s="7" t="s">
        <v>196</v>
      </c>
      <c r="C66" s="13"/>
      <c r="D66" s="13"/>
      <c r="E66" s="9" t="s">
        <v>236</v>
      </c>
    </row>
    <row r="67" spans="1:5" ht="16.8">
      <c r="A67" s="7" t="s">
        <v>197</v>
      </c>
    </row>
    <row r="68" spans="1:5" s="9" customFormat="1" ht="16.8">
      <c r="A68" s="7" t="s">
        <v>198</v>
      </c>
      <c r="C68" s="13"/>
      <c r="D68" s="13"/>
    </row>
    <row r="69" spans="1:5" ht="16.8">
      <c r="A69" s="7" t="s">
        <v>199</v>
      </c>
    </row>
    <row r="70" spans="1:5" ht="16.8">
      <c r="A70" s="7" t="s">
        <v>200</v>
      </c>
    </row>
    <row r="71" spans="1:5" ht="16.8">
      <c r="A71" s="7" t="s">
        <v>201</v>
      </c>
    </row>
    <row r="72" spans="1:5" s="9" customFormat="1" ht="16.8">
      <c r="A72" s="7" t="s">
        <v>202</v>
      </c>
      <c r="C72" s="13"/>
      <c r="D72" s="13"/>
    </row>
    <row r="73" spans="1:5" s="9" customFormat="1" ht="16.8">
      <c r="A73" s="7" t="s">
        <v>203</v>
      </c>
      <c r="C73" s="13"/>
      <c r="D73" s="13"/>
      <c r="E73" s="9" t="s">
        <v>263</v>
      </c>
    </row>
    <row r="74" spans="1:5" s="9" customFormat="1" ht="16.8">
      <c r="A74" s="7" t="s">
        <v>204</v>
      </c>
      <c r="C74" s="13"/>
      <c r="D74" s="13"/>
      <c r="E74" s="9" t="s">
        <v>236</v>
      </c>
    </row>
    <row r="75" spans="1:5" s="9" customFormat="1" ht="16.8">
      <c r="A75" s="7" t="s">
        <v>205</v>
      </c>
      <c r="C75" s="13"/>
      <c r="D75" s="13"/>
      <c r="E75" s="9" t="s">
        <v>247</v>
      </c>
    </row>
    <row r="76" spans="1:5" s="9" customFormat="1" ht="16.8">
      <c r="A76" s="7" t="s">
        <v>206</v>
      </c>
      <c r="C76" s="13"/>
      <c r="D76" s="13"/>
    </row>
    <row r="77" spans="1:5" s="9" customFormat="1" ht="16.8">
      <c r="A77" s="7" t="s">
        <v>207</v>
      </c>
      <c r="C77" s="13"/>
      <c r="D77" s="13"/>
    </row>
    <row r="78" spans="1:5" ht="16.8">
      <c r="A78" s="7" t="s">
        <v>208</v>
      </c>
    </row>
    <row r="79" spans="1:5" s="9" customFormat="1" ht="16.8">
      <c r="A79" s="7" t="s">
        <v>209</v>
      </c>
      <c r="C79" s="13"/>
      <c r="D79" s="13"/>
    </row>
    <row r="80" spans="1:5" ht="16.8">
      <c r="A80" s="7" t="s">
        <v>210</v>
      </c>
    </row>
    <row r="81" spans="1:5" s="9" customFormat="1" ht="16.8">
      <c r="A81" s="7" t="s">
        <v>211</v>
      </c>
      <c r="C81" s="13"/>
      <c r="D81" s="13"/>
      <c r="E81" s="9" t="s">
        <v>247</v>
      </c>
    </row>
    <row r="82" spans="1:5" ht="16.8">
      <c r="A82" s="7" t="s">
        <v>212</v>
      </c>
    </row>
    <row r="83" spans="1:5" ht="16.8">
      <c r="A83" s="7" t="s">
        <v>213</v>
      </c>
    </row>
    <row r="84" spans="1:5" s="9" customFormat="1" ht="16.8">
      <c r="A84" s="7" t="s">
        <v>214</v>
      </c>
      <c r="C84" s="13"/>
      <c r="D84" s="13"/>
    </row>
    <row r="85" spans="1:5" ht="16.8">
      <c r="A85" s="7" t="s">
        <v>215</v>
      </c>
    </row>
    <row r="86" spans="1:5" ht="16.8">
      <c r="A86" s="7" t="s">
        <v>216</v>
      </c>
    </row>
    <row r="87" spans="1:5" s="9" customFormat="1" ht="16.8">
      <c r="A87" s="7" t="s">
        <v>217</v>
      </c>
      <c r="C87" s="13"/>
      <c r="D87" s="13"/>
    </row>
    <row r="88" spans="1:5" s="9" customFormat="1" ht="16.8">
      <c r="A88" s="7" t="s">
        <v>218</v>
      </c>
      <c r="C88" s="13"/>
      <c r="D88" s="13"/>
    </row>
    <row r="89" spans="1:5" ht="16.8">
      <c r="A89" s="8" t="s">
        <v>219</v>
      </c>
      <c r="E89" t="s">
        <v>272</v>
      </c>
    </row>
    <row r="90" spans="1:5" ht="16.8">
      <c r="A90" s="7" t="s">
        <v>220</v>
      </c>
    </row>
    <row r="91" spans="1:5" ht="16.8">
      <c r="A91" s="7" t="s">
        <v>221</v>
      </c>
    </row>
    <row r="92" spans="1:5" s="9" customFormat="1" ht="16.8">
      <c r="A92" s="7" t="s">
        <v>222</v>
      </c>
      <c r="C92" s="13"/>
      <c r="D92" s="13"/>
      <c r="E92" s="9" t="s">
        <v>274</v>
      </c>
    </row>
    <row r="93" spans="1:5" ht="16.8">
      <c r="A93" s="8" t="s">
        <v>223</v>
      </c>
      <c r="E93" t="s">
        <v>275</v>
      </c>
    </row>
    <row r="94" spans="1:5" ht="16.8">
      <c r="A94" s="8" t="s">
        <v>224</v>
      </c>
      <c r="E94" t="s">
        <v>275</v>
      </c>
    </row>
    <row r="95" spans="1:5" ht="16.8">
      <c r="A95" s="8" t="s">
        <v>225</v>
      </c>
      <c r="E95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FF6B5BFF1944F8695A8DAF54B4123" ma:contentTypeVersion="18" ma:contentTypeDescription="Create a new document." ma:contentTypeScope="" ma:versionID="200b7930b25bc4483acaa5dd2c9ef342">
  <xsd:schema xmlns:xsd="http://www.w3.org/2001/XMLSchema" xmlns:xs="http://www.w3.org/2001/XMLSchema" xmlns:p="http://schemas.microsoft.com/office/2006/metadata/properties" xmlns:ns3="f18b8b0e-6d93-40c9-aa58-d3401ed470ca" xmlns:ns4="4bfca90f-af36-4935-a86c-31ea0d000dac" targetNamespace="http://schemas.microsoft.com/office/2006/metadata/properties" ma:root="true" ma:fieldsID="89b5e06acb7f5e5d9f6dffe691e908dc" ns3:_="" ns4:_="">
    <xsd:import namespace="f18b8b0e-6d93-40c9-aa58-d3401ed470ca"/>
    <xsd:import namespace="4bfca90f-af36-4935-a86c-31ea0d000d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b8b0e-6d93-40c9-aa58-d3401ed47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ca90f-af36-4935-a86c-31ea0d000d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8b8b0e-6d93-40c9-aa58-d3401ed470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5DEBE-97BB-477C-A4CE-588C7B1B8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8b8b0e-6d93-40c9-aa58-d3401ed470ca"/>
    <ds:schemaRef ds:uri="4bfca90f-af36-4935-a86c-31ea0d000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52478-A1C4-4D4A-8CFC-2A7362484BFC}">
  <ds:schemaRefs>
    <ds:schemaRef ds:uri="4bfca90f-af36-4935-a86c-31ea0d000dac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f18b8b0e-6d93-40c9-aa58-d3401ed470ca"/>
  </ds:schemaRefs>
</ds:datastoreItem>
</file>

<file path=customXml/itemProps3.xml><?xml version="1.0" encoding="utf-8"?>
<ds:datastoreItem xmlns:ds="http://schemas.openxmlformats.org/officeDocument/2006/customXml" ds:itemID="{807DED03-72A1-4272-B8D0-340185714D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Altinordu</dc:creator>
  <cp:lastModifiedBy>Ione Fine</cp:lastModifiedBy>
  <dcterms:created xsi:type="dcterms:W3CDTF">2026-01-28T02:01:35Z</dcterms:created>
  <dcterms:modified xsi:type="dcterms:W3CDTF">2026-03-02T01:53:07Z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0x010100223FF6B5BFF1944F8695A8DAF54B4123</vt:lpwstr>
  </property>
</Properties>
</file>